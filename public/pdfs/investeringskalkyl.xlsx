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h-my.sharepoint.com/personal/amakar_ug_kth_se/Documents/Investeringsanalys projekt/"/>
    </mc:Choice>
  </mc:AlternateContent>
  <xr:revisionPtr revIDLastSave="0" documentId="8_{22E7829D-E5D8-422C-AE86-721762F09304}" xr6:coauthVersionLast="47" xr6:coauthVersionMax="47" xr10:uidLastSave="{00000000-0000-0000-0000-000000000000}"/>
  <bookViews>
    <workbookView xWindow="-120" yWindow="-120" windowWidth="29040" windowHeight="15840" xr2:uid="{C05BFB9A-7FBD-43A8-BB3B-412708148E0F}"/>
  </bookViews>
  <sheets>
    <sheet name="Assumptions" sheetId="1" r:id="rId1"/>
    <sheet name="Calculation" sheetId="2" r:id="rId2"/>
    <sheet name="Resul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2" l="1"/>
  <c r="D4" i="2"/>
  <c r="N4" i="2" s="1"/>
  <c r="N36" i="1"/>
  <c r="C139" i="2"/>
  <c r="C143" i="2" s="1"/>
  <c r="E130" i="2"/>
  <c r="F130" i="2"/>
  <c r="G130" i="2"/>
  <c r="H130" i="2"/>
  <c r="I130" i="2"/>
  <c r="J130" i="2"/>
  <c r="K130" i="2"/>
  <c r="L130" i="2"/>
  <c r="M130" i="2"/>
  <c r="D130" i="2"/>
  <c r="D131" i="2"/>
  <c r="E131" i="2"/>
  <c r="C131" i="2"/>
  <c r="D96" i="2"/>
  <c r="E96" i="2"/>
  <c r="F96" i="2"/>
  <c r="G96" i="2"/>
  <c r="H96" i="2"/>
  <c r="I96" i="2"/>
  <c r="J96" i="2"/>
  <c r="K96" i="2"/>
  <c r="L96" i="2"/>
  <c r="M96" i="2"/>
  <c r="N96" i="2"/>
  <c r="C127" i="2"/>
  <c r="N97" i="2"/>
  <c r="D118" i="1"/>
  <c r="D97" i="2"/>
  <c r="C97" i="2"/>
  <c r="D109" i="2"/>
  <c r="E24" i="2" s="1"/>
  <c r="D13" i="1"/>
  <c r="E83" i="2"/>
  <c r="F83" i="2"/>
  <c r="G83" i="2"/>
  <c r="E35" i="2"/>
  <c r="D35" i="2"/>
  <c r="F15" i="1"/>
  <c r="F11" i="2"/>
  <c r="E59" i="2"/>
  <c r="F59" i="2"/>
  <c r="G59" i="2"/>
  <c r="H59" i="2"/>
  <c r="I59" i="2"/>
  <c r="J59" i="2"/>
  <c r="K59" i="2"/>
  <c r="D59" i="2"/>
  <c r="D23" i="2"/>
  <c r="D29" i="2" s="1"/>
  <c r="E71" i="2"/>
  <c r="F71" i="2"/>
  <c r="G71" i="2"/>
  <c r="H71" i="2"/>
  <c r="I71" i="2"/>
  <c r="J71" i="2"/>
  <c r="J72" i="2" s="1"/>
  <c r="J77" i="2" s="1"/>
  <c r="D71" i="2"/>
  <c r="E47" i="2"/>
  <c r="F47" i="2"/>
  <c r="D47" i="2"/>
  <c r="D11" i="2"/>
  <c r="D83" i="2"/>
  <c r="E11" i="2"/>
  <c r="G11" i="2"/>
  <c r="I7" i="1"/>
  <c r="D22" i="2" s="1"/>
  <c r="I8" i="1"/>
  <c r="I9" i="1"/>
  <c r="I10" i="1"/>
  <c r="I11" i="1"/>
  <c r="I12" i="1"/>
  <c r="I6" i="1"/>
  <c r="D5" i="2"/>
  <c r="N5" i="2" s="1"/>
  <c r="E1" i="2"/>
  <c r="D24" i="2" l="1"/>
  <c r="E10" i="2"/>
  <c r="F10" i="2"/>
  <c r="F12" i="2" s="1"/>
  <c r="G10" i="2"/>
  <c r="D10" i="2"/>
  <c r="E82" i="2"/>
  <c r="F82" i="2"/>
  <c r="G82" i="2"/>
  <c r="G84" i="2" s="1"/>
  <c r="G89" i="2" s="1"/>
  <c r="D82" i="2"/>
  <c r="H86" i="1"/>
  <c r="E70" i="2"/>
  <c r="E72" i="2" s="1"/>
  <c r="E77" i="2" s="1"/>
  <c r="F70" i="2"/>
  <c r="F72" i="2" s="1"/>
  <c r="F77" i="2" s="1"/>
  <c r="G70" i="2"/>
  <c r="G72" i="2" s="1"/>
  <c r="G77" i="2" s="1"/>
  <c r="H70" i="2"/>
  <c r="H72" i="2" s="1"/>
  <c r="H77" i="2" s="1"/>
  <c r="I70" i="2"/>
  <c r="I72" i="2" s="1"/>
  <c r="I77" i="2" s="1"/>
  <c r="D70" i="2"/>
  <c r="D72" i="2" s="1"/>
  <c r="D77" i="2" s="1"/>
  <c r="E58" i="2"/>
  <c r="E60" i="2" s="1"/>
  <c r="E65" i="2" s="1"/>
  <c r="F58" i="2"/>
  <c r="F60" i="2" s="1"/>
  <c r="F65" i="2" s="1"/>
  <c r="G58" i="2"/>
  <c r="G60" i="2" s="1"/>
  <c r="G65" i="2" s="1"/>
  <c r="H58" i="2"/>
  <c r="H60" i="2" s="1"/>
  <c r="H65" i="2" s="1"/>
  <c r="I58" i="2"/>
  <c r="I60" i="2" s="1"/>
  <c r="I65" i="2" s="1"/>
  <c r="J58" i="2"/>
  <c r="J60" i="2" s="1"/>
  <c r="J65" i="2" s="1"/>
  <c r="K58" i="2"/>
  <c r="K60" i="2" s="1"/>
  <c r="K65" i="2" s="1"/>
  <c r="D58" i="2"/>
  <c r="D60" i="2" s="1"/>
  <c r="D65" i="2" s="1"/>
  <c r="L59" i="1"/>
  <c r="F46" i="2"/>
  <c r="F48" i="2" s="1"/>
  <c r="F53" i="2" s="1"/>
  <c r="E46" i="2"/>
  <c r="E48" i="2" s="1"/>
  <c r="E53" i="2" s="1"/>
  <c r="D46" i="2"/>
  <c r="D48" i="2" s="1"/>
  <c r="D53" i="2" s="1"/>
  <c r="E34" i="2"/>
  <c r="E36" i="2" s="1"/>
  <c r="D34" i="2"/>
  <c r="D36" i="2" s="1"/>
  <c r="D41" i="2" s="1"/>
  <c r="N110" i="2"/>
  <c r="E110" i="2"/>
  <c r="F110" i="2"/>
  <c r="G110" i="2"/>
  <c r="H110" i="2"/>
  <c r="I110" i="2"/>
  <c r="J110" i="2"/>
  <c r="K110" i="2"/>
  <c r="L110" i="2"/>
  <c r="M110" i="2"/>
  <c r="D110" i="2"/>
  <c r="E109" i="2"/>
  <c r="F109" i="2" s="1"/>
  <c r="G109" i="2" s="1"/>
  <c r="H109" i="2" s="1"/>
  <c r="I109" i="2" s="1"/>
  <c r="J109" i="2" s="1"/>
  <c r="K109" i="2" s="1"/>
  <c r="L109" i="2" s="1"/>
  <c r="M109" i="2" s="1"/>
  <c r="N109" i="2" s="1"/>
  <c r="D109" i="1"/>
  <c r="F1" i="2"/>
  <c r="F131" i="2" s="1"/>
  <c r="E97" i="2"/>
  <c r="N85" i="2"/>
  <c r="N89" i="2" s="1"/>
  <c r="N73" i="2"/>
  <c r="N77" i="2" s="1"/>
  <c r="N61" i="2"/>
  <c r="N65" i="2" s="1"/>
  <c r="N49" i="2"/>
  <c r="N53" i="2" s="1"/>
  <c r="N37" i="2"/>
  <c r="N41" i="2" s="1"/>
  <c r="N25" i="2"/>
  <c r="N29" i="2" s="1"/>
  <c r="N13" i="2"/>
  <c r="N17" i="2" s="1"/>
  <c r="D114" i="2"/>
  <c r="D113" i="2"/>
  <c r="D112" i="2"/>
  <c r="D132" i="2"/>
  <c r="D134" i="2" s="1"/>
  <c r="D140" i="2" s="1"/>
  <c r="C128" i="2"/>
  <c r="F4" i="2"/>
  <c r="G4" i="2"/>
  <c r="H4" i="2"/>
  <c r="I4" i="2"/>
  <c r="J4" i="2"/>
  <c r="K4" i="2"/>
  <c r="L4" i="2"/>
  <c r="M4" i="2"/>
  <c r="E4" i="2"/>
  <c r="F5" i="2"/>
  <c r="G5" i="2"/>
  <c r="H5" i="2"/>
  <c r="I5" i="2"/>
  <c r="J5" i="2"/>
  <c r="K5" i="2"/>
  <c r="L5" i="2"/>
  <c r="M5" i="2"/>
  <c r="E5" i="2"/>
  <c r="G26" i="2" s="1"/>
  <c r="E41" i="2"/>
  <c r="E84" i="2"/>
  <c r="E89" i="2" s="1"/>
  <c r="F84" i="2"/>
  <c r="F89" i="2" s="1"/>
  <c r="D84" i="2"/>
  <c r="D89" i="2" s="1"/>
  <c r="D12" i="2"/>
  <c r="D17" i="2" s="1"/>
  <c r="F26" i="2" l="1"/>
  <c r="M26" i="2"/>
  <c r="L26" i="2"/>
  <c r="K26" i="2"/>
  <c r="J26" i="2"/>
  <c r="I26" i="2"/>
  <c r="H26" i="2"/>
  <c r="N91" i="2"/>
  <c r="N106" i="2" s="1"/>
  <c r="N107" i="2" s="1"/>
  <c r="N108" i="2" s="1"/>
  <c r="N111" i="2" s="1"/>
  <c r="D115" i="2"/>
  <c r="E133" i="2"/>
  <c r="F133" i="2"/>
  <c r="G133" i="2"/>
  <c r="H133" i="2"/>
  <c r="I133" i="2"/>
  <c r="J133" i="2"/>
  <c r="K133" i="2"/>
  <c r="L133" i="2"/>
  <c r="M133" i="2"/>
  <c r="D133" i="2"/>
  <c r="D135" i="2" s="1"/>
  <c r="E114" i="2"/>
  <c r="E113" i="2"/>
  <c r="E112" i="2"/>
  <c r="E115" i="2" s="1"/>
  <c r="G1" i="2"/>
  <c r="G131" i="2" s="1"/>
  <c r="F97" i="2"/>
  <c r="D91" i="2"/>
  <c r="D106" i="2" s="1"/>
  <c r="F27" i="2"/>
  <c r="H27" i="2"/>
  <c r="G27" i="2"/>
  <c r="I27" i="2"/>
  <c r="J27" i="2"/>
  <c r="K27" i="2"/>
  <c r="L27" i="2"/>
  <c r="M27" i="2"/>
  <c r="E25" i="2"/>
  <c r="E29" i="2" s="1"/>
  <c r="J15" i="2"/>
  <c r="K15" i="2"/>
  <c r="L15" i="2"/>
  <c r="M15" i="2"/>
  <c r="I15" i="2"/>
  <c r="H13" i="2"/>
  <c r="H17" i="2" s="1"/>
  <c r="H39" i="2"/>
  <c r="I39" i="2"/>
  <c r="J39" i="2"/>
  <c r="K39" i="2"/>
  <c r="L39" i="2"/>
  <c r="M39" i="2"/>
  <c r="G39" i="2"/>
  <c r="F37" i="2"/>
  <c r="F41" i="2" s="1"/>
  <c r="G38" i="2"/>
  <c r="M63" i="2"/>
  <c r="L61" i="2"/>
  <c r="L65" i="2" s="1"/>
  <c r="M75" i="2"/>
  <c r="L75" i="2"/>
  <c r="K73" i="2"/>
  <c r="K77" i="2" s="1"/>
  <c r="I87" i="2"/>
  <c r="I86" i="2"/>
  <c r="J87" i="2"/>
  <c r="K87" i="2"/>
  <c r="L87" i="2"/>
  <c r="M87" i="2"/>
  <c r="H85" i="2"/>
  <c r="H89" i="2" s="1"/>
  <c r="H51" i="2"/>
  <c r="I51" i="2"/>
  <c r="J51" i="2"/>
  <c r="K51" i="2"/>
  <c r="L51" i="2"/>
  <c r="M51" i="2"/>
  <c r="G49" i="2"/>
  <c r="G53" i="2" s="1"/>
  <c r="H38" i="2"/>
  <c r="I38" i="2"/>
  <c r="J38" i="2"/>
  <c r="J40" i="2" s="1"/>
  <c r="J41" i="2" s="1"/>
  <c r="K38" i="2"/>
  <c r="K40" i="2" s="1"/>
  <c r="K41" i="2" s="1"/>
  <c r="L38" i="2"/>
  <c r="M38" i="2"/>
  <c r="J86" i="2"/>
  <c r="K86" i="2"/>
  <c r="L86" i="2"/>
  <c r="M86" i="2"/>
  <c r="H50" i="2"/>
  <c r="I50" i="2"/>
  <c r="J50" i="2"/>
  <c r="K50" i="2"/>
  <c r="L50" i="2"/>
  <c r="M50" i="2"/>
  <c r="M74" i="2"/>
  <c r="L74" i="2"/>
  <c r="M62" i="2"/>
  <c r="J14" i="2"/>
  <c r="K14" i="2"/>
  <c r="L14" i="2"/>
  <c r="M14" i="2"/>
  <c r="I14" i="2"/>
  <c r="E12" i="2"/>
  <c r="E17" i="2" s="1"/>
  <c r="I40" i="2" l="1"/>
  <c r="I41" i="2" s="1"/>
  <c r="I16" i="2"/>
  <c r="H40" i="2"/>
  <c r="H41" i="2" s="1"/>
  <c r="M40" i="2"/>
  <c r="M41" i="2" s="1"/>
  <c r="L40" i="2"/>
  <c r="L41" i="2" s="1"/>
  <c r="G40" i="2"/>
  <c r="G41" i="2" s="1"/>
  <c r="M76" i="2"/>
  <c r="M77" i="2" s="1"/>
  <c r="M64" i="2"/>
  <c r="M65" i="2" s="1"/>
  <c r="M116" i="2"/>
  <c r="N35" i="1" s="1"/>
  <c r="N34" i="1"/>
  <c r="D136" i="2"/>
  <c r="E132" i="2" s="1"/>
  <c r="D141" i="2"/>
  <c r="F114" i="2"/>
  <c r="F113" i="2"/>
  <c r="F112" i="2"/>
  <c r="F115" i="2" s="1"/>
  <c r="H1" i="2"/>
  <c r="H131" i="2" s="1"/>
  <c r="G97" i="2"/>
  <c r="D107" i="2"/>
  <c r="D108" i="2" s="1"/>
  <c r="D111" i="2" s="1"/>
  <c r="E91" i="2"/>
  <c r="E106" i="2" s="1"/>
  <c r="M88" i="2"/>
  <c r="M89" i="2"/>
  <c r="L88" i="2"/>
  <c r="L89" i="2"/>
  <c r="K88" i="2"/>
  <c r="K89" i="2"/>
  <c r="J88" i="2"/>
  <c r="J89" i="2"/>
  <c r="I88" i="2"/>
  <c r="I89" i="2"/>
  <c r="L76" i="2"/>
  <c r="L77" i="2" s="1"/>
  <c r="M52" i="2"/>
  <c r="M53" i="2" s="1"/>
  <c r="L52" i="2"/>
  <c r="L53" i="2" s="1"/>
  <c r="K52" i="2"/>
  <c r="K53" i="2" s="1"/>
  <c r="J52" i="2"/>
  <c r="J53" i="2" s="1"/>
  <c r="I52" i="2"/>
  <c r="I53" i="2" s="1"/>
  <c r="M16" i="2"/>
  <c r="M17" i="2" s="1"/>
  <c r="L16" i="2"/>
  <c r="L17" i="2" s="1"/>
  <c r="K16" i="2"/>
  <c r="K17" i="2" s="1"/>
  <c r="J16" i="2"/>
  <c r="J17" i="2" s="1"/>
  <c r="F29" i="2"/>
  <c r="F28" i="2"/>
  <c r="M29" i="2"/>
  <c r="M28" i="2"/>
  <c r="L29" i="2"/>
  <c r="L28" i="2"/>
  <c r="K29" i="2"/>
  <c r="K28" i="2"/>
  <c r="J29" i="2"/>
  <c r="J28" i="2"/>
  <c r="I29" i="2"/>
  <c r="I28" i="2"/>
  <c r="H29" i="2"/>
  <c r="H28" i="2"/>
  <c r="G29" i="2"/>
  <c r="G28" i="2"/>
  <c r="H52" i="2"/>
  <c r="H53" i="2" s="1"/>
  <c r="I17" i="2"/>
  <c r="G12" i="2"/>
  <c r="G17" i="2" s="1"/>
  <c r="F17" i="2"/>
  <c r="D117" i="2" l="1"/>
  <c r="D34" i="1"/>
  <c r="D139" i="2"/>
  <c r="D143" i="2" s="1"/>
  <c r="E134" i="2"/>
  <c r="G114" i="2"/>
  <c r="G113" i="2"/>
  <c r="G112" i="2"/>
  <c r="G115" i="2" s="1"/>
  <c r="I1" i="2"/>
  <c r="I131" i="2" s="1"/>
  <c r="H97" i="2"/>
  <c r="E107" i="2"/>
  <c r="E108" i="2" s="1"/>
  <c r="E111" i="2" s="1"/>
  <c r="G91" i="2"/>
  <c r="G106" i="2" s="1"/>
  <c r="F91" i="2"/>
  <c r="F106" i="2" s="1"/>
  <c r="J91" i="2"/>
  <c r="J106" i="2" s="1"/>
  <c r="K91" i="2"/>
  <c r="K106" i="2" s="1"/>
  <c r="L91" i="2"/>
  <c r="L106" i="2" s="1"/>
  <c r="M91" i="2"/>
  <c r="M106" i="2" s="1"/>
  <c r="H91" i="2"/>
  <c r="H106" i="2" s="1"/>
  <c r="I91" i="2"/>
  <c r="I106" i="2" s="1"/>
  <c r="E117" i="2" l="1"/>
  <c r="E36" i="1" s="1"/>
  <c r="E34" i="1"/>
  <c r="D119" i="2"/>
  <c r="D36" i="1"/>
  <c r="E140" i="2"/>
  <c r="E135" i="2"/>
  <c r="D145" i="2"/>
  <c r="M107" i="2"/>
  <c r="M108" i="2" s="1"/>
  <c r="M111" i="2" s="1"/>
  <c r="M34" i="1" s="1"/>
  <c r="L107" i="2"/>
  <c r="L108" i="2" s="1"/>
  <c r="L111" i="2" s="1"/>
  <c r="L34" i="1" s="1"/>
  <c r="H114" i="2"/>
  <c r="H113" i="2"/>
  <c r="H112" i="2"/>
  <c r="J1" i="2"/>
  <c r="J131" i="2" s="1"/>
  <c r="I97" i="2"/>
  <c r="K107" i="2"/>
  <c r="K108" i="2" s="1"/>
  <c r="K111" i="2" s="1"/>
  <c r="K34" i="1" s="1"/>
  <c r="F107" i="2"/>
  <c r="F108" i="2" s="1"/>
  <c r="F111" i="2" s="1"/>
  <c r="I107" i="2"/>
  <c r="I108" i="2" s="1"/>
  <c r="I111" i="2" s="1"/>
  <c r="I34" i="1" s="1"/>
  <c r="H107" i="2"/>
  <c r="H108" i="2" s="1"/>
  <c r="H111" i="2" s="1"/>
  <c r="J107" i="2"/>
  <c r="J108" i="2" s="1"/>
  <c r="J111" i="2" s="1"/>
  <c r="J34" i="1" s="1"/>
  <c r="G107" i="2"/>
  <c r="G108" i="2" s="1"/>
  <c r="G111" i="2" s="1"/>
  <c r="H115" i="2" l="1"/>
  <c r="E139" i="2"/>
  <c r="E119" i="2"/>
  <c r="H117" i="2"/>
  <c r="H36" i="1" s="1"/>
  <c r="H34" i="1"/>
  <c r="G117" i="2"/>
  <c r="G119" i="2" s="1"/>
  <c r="G34" i="1"/>
  <c r="F117" i="2"/>
  <c r="F36" i="1" s="1"/>
  <c r="F34" i="1"/>
  <c r="H119" i="2"/>
  <c r="H139" i="2"/>
  <c r="E141" i="2"/>
  <c r="E136" i="2"/>
  <c r="F132" i="2" s="1"/>
  <c r="I114" i="2"/>
  <c r="I113" i="2"/>
  <c r="I112" i="2"/>
  <c r="K1" i="2"/>
  <c r="K131" i="2" s="1"/>
  <c r="J97" i="2"/>
  <c r="I115" i="2" l="1"/>
  <c r="I117" i="2" s="1"/>
  <c r="I36" i="1" s="1"/>
  <c r="E143" i="2"/>
  <c r="F119" i="2"/>
  <c r="F139" i="2"/>
  <c r="G139" i="2"/>
  <c r="G36" i="1"/>
  <c r="F134" i="2"/>
  <c r="J114" i="2"/>
  <c r="J113" i="2"/>
  <c r="J112" i="2"/>
  <c r="J115" i="2" s="1"/>
  <c r="J117" i="2" s="1"/>
  <c r="L1" i="2"/>
  <c r="L131" i="2" s="1"/>
  <c r="K97" i="2"/>
  <c r="I139" i="2" l="1"/>
  <c r="I119" i="2"/>
  <c r="E145" i="2"/>
  <c r="J139" i="2"/>
  <c r="J36" i="1"/>
  <c r="F135" i="2"/>
  <c r="F140" i="2"/>
  <c r="K114" i="2"/>
  <c r="K113" i="2"/>
  <c r="K112" i="2"/>
  <c r="M1" i="2"/>
  <c r="L97" i="2"/>
  <c r="J119" i="2"/>
  <c r="M97" i="2" l="1"/>
  <c r="M131" i="2"/>
  <c r="K115" i="2"/>
  <c r="K117" i="2" s="1"/>
  <c r="K36" i="1" s="1"/>
  <c r="F141" i="2"/>
  <c r="F143" i="2" s="1"/>
  <c r="F136" i="2"/>
  <c r="G132" i="2" s="1"/>
  <c r="G134" i="2" s="1"/>
  <c r="L114" i="2"/>
  <c r="L113" i="2"/>
  <c r="L112" i="2"/>
  <c r="L115" i="2" s="1"/>
  <c r="L117" i="2" s="1"/>
  <c r="M114" i="2"/>
  <c r="M113" i="2"/>
  <c r="M112" i="2"/>
  <c r="K139" i="2" l="1"/>
  <c r="K119" i="2"/>
  <c r="M115" i="2"/>
  <c r="M117" i="2" s="1"/>
  <c r="M36" i="1" s="1"/>
  <c r="L139" i="2"/>
  <c r="L36" i="1"/>
  <c r="G135" i="2"/>
  <c r="G140" i="2"/>
  <c r="F145" i="2"/>
  <c r="L119" i="2"/>
  <c r="C122" i="2" l="1"/>
  <c r="M139" i="2"/>
  <c r="M119" i="2"/>
  <c r="C120" i="2" s="1"/>
  <c r="C30" i="3" s="1"/>
  <c r="G37" i="3" s="1"/>
  <c r="G136" i="2"/>
  <c r="H132" i="2" s="1"/>
  <c r="H134" i="2" s="1"/>
  <c r="G141" i="2"/>
  <c r="G143" i="2" s="1"/>
  <c r="E6" i="3" l="1"/>
  <c r="C32" i="3"/>
  <c r="C3" i="3"/>
  <c r="D3" i="3" s="1"/>
  <c r="C121" i="2"/>
  <c r="C37" i="1"/>
  <c r="G145" i="2"/>
  <c r="H135" i="2"/>
  <c r="H140" i="2"/>
  <c r="C38" i="1" l="1"/>
  <c r="B47" i="1" s="1"/>
  <c r="C31" i="3"/>
  <c r="C4" i="3"/>
  <c r="D4" i="3" s="1"/>
  <c r="H136" i="2"/>
  <c r="I132" i="2" s="1"/>
  <c r="I134" i="2" s="1"/>
  <c r="H141" i="2"/>
  <c r="H143" i="2" s="1"/>
  <c r="G41" i="1" l="1"/>
  <c r="B41" i="1"/>
  <c r="B16" i="3" s="1"/>
  <c r="H145" i="2"/>
  <c r="I135" i="2"/>
  <c r="I140" i="2"/>
  <c r="B10" i="3" l="1"/>
  <c r="B22" i="3"/>
  <c r="I136" i="2"/>
  <c r="J132" i="2" s="1"/>
  <c r="J134" i="2" s="1"/>
  <c r="I141" i="2"/>
  <c r="I143" i="2" s="1"/>
  <c r="I145" i="2" l="1"/>
  <c r="J135" i="2"/>
  <c r="J140" i="2"/>
  <c r="J136" i="2" l="1"/>
  <c r="K132" i="2" s="1"/>
  <c r="K134" i="2" s="1"/>
  <c r="J141" i="2"/>
  <c r="J143" i="2" s="1"/>
  <c r="J145" i="2" l="1"/>
  <c r="K135" i="2"/>
  <c r="K140" i="2"/>
  <c r="K136" i="2" l="1"/>
  <c r="L132" i="2" s="1"/>
  <c r="L134" i="2" s="1"/>
  <c r="K141" i="2"/>
  <c r="K143" i="2" s="1"/>
  <c r="K145" i="2" l="1"/>
  <c r="L135" i="2"/>
  <c r="L140" i="2"/>
  <c r="L136" i="2" l="1"/>
  <c r="M132" i="2" s="1"/>
  <c r="M134" i="2" s="1"/>
  <c r="L141" i="2"/>
  <c r="L143" i="2" s="1"/>
  <c r="L145" i="2" l="1"/>
  <c r="M135" i="2"/>
  <c r="M140" i="2"/>
  <c r="M136" i="2" l="1"/>
  <c r="M142" i="2" s="1"/>
  <c r="M141" i="2"/>
  <c r="M143" i="2" l="1"/>
  <c r="C148" i="2" s="1"/>
  <c r="C37" i="3" s="1"/>
  <c r="G34" i="3" s="1"/>
  <c r="E7" i="3" l="1"/>
  <c r="M145" i="2"/>
  <c r="C146" i="2" s="1"/>
  <c r="C147" i="2" l="1"/>
  <c r="C35" i="3"/>
  <c r="C5" i="3" l="1"/>
  <c r="D5" i="3" s="1"/>
  <c r="C36" i="3"/>
  <c r="G33" i="3" s="1"/>
</calcChain>
</file>

<file path=xl/sharedStrings.xml><?xml version="1.0" encoding="utf-8"?>
<sst xmlns="http://schemas.openxmlformats.org/spreadsheetml/2006/main" count="213" uniqueCount="128">
  <si>
    <t>Advertised price of building (SEK)</t>
  </si>
  <si>
    <t>Transaction year</t>
  </si>
  <si>
    <t>Tenant</t>
  </si>
  <si>
    <t>Type of premise</t>
  </si>
  <si>
    <t>Space Occupied (m2)</t>
  </si>
  <si>
    <t xml:space="preserve">Lease start </t>
  </si>
  <si>
    <t>Lease end</t>
  </si>
  <si>
    <t>Start rent (SEK/m2/year)</t>
  </si>
  <si>
    <t>CPI adjustment (%)</t>
  </si>
  <si>
    <t>Fixed fraction</t>
  </si>
  <si>
    <t>Clients financial information</t>
  </si>
  <si>
    <t>Salong Kalufs</t>
  </si>
  <si>
    <t>Retail</t>
  </si>
  <si>
    <t>Inital loan-to-value (%)</t>
  </si>
  <si>
    <t>Nordic Slow Fashion</t>
  </si>
  <si>
    <t>Price of estate (SEK)</t>
  </si>
  <si>
    <t>Drottningens Guldsmed</t>
  </si>
  <si>
    <t>Equity (%)</t>
  </si>
  <si>
    <t>Ärlig Redovisning Konsultbyrå</t>
  </si>
  <si>
    <t>Office</t>
  </si>
  <si>
    <t>Interest rate (rd) (%)</t>
  </si>
  <si>
    <t>AI Data</t>
  </si>
  <si>
    <t>Maturity of loan</t>
  </si>
  <si>
    <t>AMT</t>
  </si>
  <si>
    <t>Norrlands Guld</t>
  </si>
  <si>
    <t>Total Area</t>
  </si>
  <si>
    <t>Market rent for office (SEK/m2/year)</t>
  </si>
  <si>
    <t>O&amp;R expected growth</t>
  </si>
  <si>
    <t>Other assumptions</t>
  </si>
  <si>
    <t>Market rent for retail (SEK/m2/year)</t>
  </si>
  <si>
    <t>Nom r</t>
  </si>
  <si>
    <t xml:space="preserve">Property level discount rate OCC (r)(%) </t>
  </si>
  <si>
    <t>Inflation rate (i)</t>
  </si>
  <si>
    <t>Vacancy rate (%)</t>
  </si>
  <si>
    <t>Equity level discount rate (re)</t>
  </si>
  <si>
    <t>No tax</t>
  </si>
  <si>
    <t>Year</t>
  </si>
  <si>
    <t>Description</t>
  </si>
  <si>
    <t>Cost in PV (SEK)</t>
  </si>
  <si>
    <t>Renovation of roof space insulation</t>
  </si>
  <si>
    <t>Exit yield</t>
  </si>
  <si>
    <t>Investments to increase energy-efficency</t>
  </si>
  <si>
    <t>Growth rate, perpetuity (%)</t>
  </si>
  <si>
    <t>Renovation of facades</t>
  </si>
  <si>
    <t>Operating costs (SEK/m2/year)</t>
  </si>
  <si>
    <t>Inflation rate (%)</t>
  </si>
  <si>
    <t xml:space="preserve">Year 2 </t>
  </si>
  <si>
    <t>Year 3</t>
  </si>
  <si>
    <t>Maintenance costs (SEK/m2/year)</t>
  </si>
  <si>
    <t>NOI</t>
  </si>
  <si>
    <t>Salvage Value</t>
  </si>
  <si>
    <t>PBTCF</t>
  </si>
  <si>
    <t>Sum of PV PBTCF</t>
  </si>
  <si>
    <t>NPVp</t>
  </si>
  <si>
    <t>=(K4*'Assumptions'!D10*'Assumptions'!H10*(1+'Assumptions'!C25)</t>
  </si>
  <si>
    <t>=(G4*'Assumptions'!$D12*'Assumptions'!$H12*(1+'Assumptions'!C25)</t>
  </si>
  <si>
    <t>=OM(D97='Assumptions'!$B20;'Assumptions'!D20*(1+'Assumptions'!$C25)</t>
  </si>
  <si>
    <t>Market Rent for Office</t>
  </si>
  <si>
    <t>Market Rent for Retail</t>
  </si>
  <si>
    <t>Years Since Lease Start</t>
  </si>
  <si>
    <t xml:space="preserve">Contract Rent </t>
  </si>
  <si>
    <t>Fixed Fraction</t>
  </si>
  <si>
    <t>CPI Adjustment</t>
  </si>
  <si>
    <t>Rent During Contract Time</t>
  </si>
  <si>
    <t>Rent After Renewal of Contract</t>
  </si>
  <si>
    <t>Annual Rent</t>
  </si>
  <si>
    <t>Rent during contract time</t>
  </si>
  <si>
    <t>Rent after renewal of contract</t>
  </si>
  <si>
    <t>Annual rent</t>
  </si>
  <si>
    <t>Years since lease start</t>
  </si>
  <si>
    <t xml:space="preserve">Contract rent </t>
  </si>
  <si>
    <t>CPI adjustment</t>
  </si>
  <si>
    <t>Potential Gross Income</t>
  </si>
  <si>
    <t>Unleveraged Cash Flow:</t>
  </si>
  <si>
    <t>Rental Income (from left to right)</t>
  </si>
  <si>
    <t>Salong Kalufsen</t>
  </si>
  <si>
    <t>Norrlands guld</t>
  </si>
  <si>
    <t>(=) Potental Gross Income</t>
  </si>
  <si>
    <t>(-) Vacancy allowance</t>
  </si>
  <si>
    <t>(=) Effective Gross Income</t>
  </si>
  <si>
    <t>(-) Operating Costs</t>
  </si>
  <si>
    <t>(-) Maintenace Costs</t>
  </si>
  <si>
    <t>(=) Net Operating Income</t>
  </si>
  <si>
    <t>(-) Renovating of roof space insulation</t>
  </si>
  <si>
    <t>(-)Investments to increase energy-efficiency</t>
  </si>
  <si>
    <t>(-) Renovation of facades</t>
  </si>
  <si>
    <t>(-) Total Capital of Expenditures</t>
  </si>
  <si>
    <t>(+) Salvage Value</t>
  </si>
  <si>
    <t>(=) Property Before-Tax Cash Flow</t>
  </si>
  <si>
    <t>PV PBTCF</t>
  </si>
  <si>
    <t>IRRp</t>
  </si>
  <si>
    <t>Leveraged cash flow:</t>
  </si>
  <si>
    <t>Annuity Loan:</t>
  </si>
  <si>
    <t>Loan amount</t>
  </si>
  <si>
    <t>Annuity</t>
  </si>
  <si>
    <t>Ingoing balance OLB t-1</t>
  </si>
  <si>
    <t>Annuity (Debt Service)</t>
  </si>
  <si>
    <t>Interest payment</t>
  </si>
  <si>
    <t>Amortization</t>
  </si>
  <si>
    <t>Outgoing balance OLB 1</t>
  </si>
  <si>
    <t>(=) PBTCF (excluding Salvage Value year 10)</t>
  </si>
  <si>
    <t>(-) Interest payment</t>
  </si>
  <si>
    <t>(-) Amortization</t>
  </si>
  <si>
    <t>(+) Equity Salvage Value</t>
  </si>
  <si>
    <t xml:space="preserve">(=) EBTCF (FTE) </t>
  </si>
  <si>
    <t>PV EBTCF</t>
  </si>
  <si>
    <t>Sum of PV EBTCF</t>
  </si>
  <si>
    <t>NPVe</t>
  </si>
  <si>
    <t>IRRe</t>
  </si>
  <si>
    <t>Rubrik</t>
  </si>
  <si>
    <t>SEK</t>
  </si>
  <si>
    <t>SEK/m2</t>
  </si>
  <si>
    <t>IRR(%)</t>
  </si>
  <si>
    <t>Property Before-Tax Cash Flow PV</t>
  </si>
  <si>
    <t>Property Before-Tax Cash Flow NPV</t>
  </si>
  <si>
    <t>Equity Before-Tax Cash Flow NPVe</t>
  </si>
  <si>
    <t>Property Before-Tax Cash Flow IRR</t>
  </si>
  <si>
    <t>Equity Before-Tax Cash Flow IRRe</t>
  </si>
  <si>
    <t xml:space="preserve">Property level discount rate </t>
  </si>
  <si>
    <t xml:space="preserve">Office and retail rent </t>
  </si>
  <si>
    <t xml:space="preserve">Change in operating costs after CAPEX 1 and CAPEX 2 </t>
  </si>
  <si>
    <t>Value of property level</t>
  </si>
  <si>
    <t>1. Based on the property level NPV and IRR, should your client buy the property?</t>
  </si>
  <si>
    <t>Yes. That is since the NPV value is bigger than 0, and the IRR is higher than property level discount rate.</t>
  </si>
  <si>
    <t>2. Based on the given financing assumptions, what are the NPVe and IRRe ?</t>
  </si>
  <si>
    <t>Value of equity level</t>
  </si>
  <si>
    <t>3. What is the maximum amount of money your client should pay for this property (i.e. what is the investment value)?</t>
  </si>
  <si>
    <t>Maximum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</si>
</sst>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10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4" fillId="5" borderId="0" xfId="0" applyFont="1" applyFill="1"/>
    <xf numFmtId="0" fontId="0" fillId="6" borderId="0" xfId="0" applyFill="1"/>
    <xf numFmtId="0" fontId="4" fillId="6" borderId="0" xfId="0" applyFont="1" applyFill="1"/>
    <xf numFmtId="0" fontId="0" fillId="7" borderId="0" xfId="0" applyFill="1"/>
    <xf numFmtId="0" fontId="5" fillId="0" borderId="0" xfId="0" applyFont="1"/>
    <xf numFmtId="0" fontId="0" fillId="5" borderId="0" xfId="0" applyFill="1"/>
    <xf numFmtId="0" fontId="6" fillId="0" borderId="0" xfId="0" applyFont="1"/>
    <xf numFmtId="10" fontId="4" fillId="0" borderId="0" xfId="0" applyNumberFormat="1" applyFont="1"/>
    <xf numFmtId="0" fontId="2" fillId="0" borderId="0" xfId="0" applyFont="1"/>
    <xf numFmtId="10" fontId="0" fillId="3" borderId="3" xfId="0" applyNumberFormat="1" applyFill="1" applyBorder="1"/>
    <xf numFmtId="9" fontId="0" fillId="3" borderId="3" xfId="0" applyNumberFormat="1" applyFill="1" applyBorder="1"/>
    <xf numFmtId="0" fontId="0" fillId="2" borderId="4" xfId="0" applyFill="1" applyBorder="1"/>
    <xf numFmtId="0" fontId="2" fillId="2" borderId="7" xfId="0" applyFont="1" applyFill="1" applyBorder="1"/>
    <xf numFmtId="0" fontId="0" fillId="2" borderId="7" xfId="0" applyFill="1" applyBorder="1"/>
    <xf numFmtId="0" fontId="0" fillId="2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8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0" fontId="0" fillId="0" borderId="15" xfId="0" applyNumberFormat="1" applyBorder="1"/>
    <xf numFmtId="0" fontId="0" fillId="0" borderId="16" xfId="0" applyBorder="1"/>
    <xf numFmtId="0" fontId="0" fillId="0" borderId="17" xfId="0" applyBorder="1"/>
    <xf numFmtId="10" fontId="0" fillId="0" borderId="18" xfId="0" applyNumberFormat="1" applyBorder="1"/>
    <xf numFmtId="0" fontId="3" fillId="9" borderId="0" xfId="0" applyFont="1" applyFill="1"/>
    <xf numFmtId="0" fontId="0" fillId="9" borderId="0" xfId="0" applyFill="1"/>
    <xf numFmtId="10" fontId="0" fillId="5" borderId="0" xfId="0" applyNumberFormat="1" applyFill="1"/>
    <xf numFmtId="3" fontId="0" fillId="0" borderId="0" xfId="0" applyNumberFormat="1"/>
    <xf numFmtId="3" fontId="4" fillId="0" borderId="0" xfId="0" applyNumberFormat="1" applyFont="1"/>
    <xf numFmtId="0" fontId="4" fillId="8" borderId="0" xfId="0" applyFont="1" applyFill="1"/>
    <xf numFmtId="3" fontId="4" fillId="4" borderId="0" xfId="0" applyNumberFormat="1" applyFont="1" applyFill="1"/>
    <xf numFmtId="3" fontId="4" fillId="4" borderId="1" xfId="0" applyNumberFormat="1" applyFont="1" applyFill="1" applyBorder="1"/>
    <xf numFmtId="3" fontId="2" fillId="4" borderId="1" xfId="0" applyNumberFormat="1" applyFont="1" applyFill="1" applyBorder="1"/>
    <xf numFmtId="3" fontId="0" fillId="6" borderId="0" xfId="0" applyNumberFormat="1" applyFill="1"/>
    <xf numFmtId="3" fontId="2" fillId="6" borderId="0" xfId="0" applyNumberFormat="1" applyFont="1" applyFill="1"/>
    <xf numFmtId="3" fontId="4" fillId="5" borderId="0" xfId="0" applyNumberFormat="1" applyFont="1" applyFill="1"/>
    <xf numFmtId="3" fontId="0" fillId="5" borderId="3" xfId="0" applyNumberFormat="1" applyFill="1" applyBorder="1"/>
    <xf numFmtId="3" fontId="0" fillId="3" borderId="3" xfId="0" applyNumberFormat="1" applyFill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4" fillId="0" borderId="8" xfId="0" applyNumberFormat="1" applyFont="1" applyBorder="1"/>
    <xf numFmtId="3" fontId="0" fillId="0" borderId="8" xfId="0" applyNumberFormat="1" applyBorder="1"/>
    <xf numFmtId="3" fontId="0" fillId="0" borderId="2" xfId="0" applyNumberFormat="1" applyBorder="1"/>
    <xf numFmtId="3" fontId="0" fillId="0" borderId="10" xfId="0" applyNumberFormat="1" applyBorder="1"/>
    <xf numFmtId="0" fontId="0" fillId="9" borderId="4" xfId="0" applyFill="1" applyBorder="1"/>
    <xf numFmtId="0" fontId="3" fillId="9" borderId="6" xfId="0" applyFont="1" applyFill="1" applyBorder="1"/>
    <xf numFmtId="0" fontId="0" fillId="9" borderId="7" xfId="0" applyFill="1" applyBorder="1"/>
    <xf numFmtId="0" fontId="3" fillId="9" borderId="8" xfId="0" applyFont="1" applyFill="1" applyBorder="1"/>
    <xf numFmtId="10" fontId="0" fillId="0" borderId="8" xfId="0" applyNumberFormat="1" applyBorder="1"/>
    <xf numFmtId="3" fontId="0" fillId="0" borderId="10" xfId="0" applyNumberFormat="1" applyBorder="1" applyAlignment="1">
      <alignment readingOrder="1"/>
    </xf>
    <xf numFmtId="3" fontId="0" fillId="5" borderId="0" xfId="0" applyNumberFormat="1" applyFill="1"/>
    <xf numFmtId="0" fontId="3" fillId="6" borderId="0" xfId="0" applyFont="1" applyFill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6564-2714-4590-87D3-D246B9B2FE54}">
  <dimension ref="B2:O118"/>
  <sheetViews>
    <sheetView tabSelected="1" workbookViewId="0">
      <selection activeCell="E54" sqref="E54"/>
    </sheetView>
  </sheetViews>
  <sheetFormatPr defaultRowHeight="15"/>
  <cols>
    <col min="2" max="2" width="34.140625" bestFit="1" customWidth="1"/>
    <col min="3" max="3" width="38.7109375" bestFit="1" customWidth="1"/>
    <col min="4" max="4" width="19.85546875" bestFit="1" customWidth="1"/>
    <col min="5" max="5" width="20.85546875" bestFit="1" customWidth="1"/>
    <col min="6" max="6" width="10.5703125" bestFit="1" customWidth="1"/>
    <col min="7" max="7" width="23.140625" bestFit="1" customWidth="1"/>
    <col min="8" max="8" width="18.28515625" bestFit="1" customWidth="1"/>
    <col min="9" max="9" width="13.140625" bestFit="1" customWidth="1"/>
    <col min="10" max="11" width="9.28515625" bestFit="1" customWidth="1"/>
    <col min="12" max="12" width="36.7109375" bestFit="1" customWidth="1"/>
    <col min="13" max="14" width="10.85546875" bestFit="1" customWidth="1"/>
    <col min="15" max="15" width="17.85546875" bestFit="1" customWidth="1"/>
  </cols>
  <sheetData>
    <row r="2" spans="2:13">
      <c r="B2" s="3" t="s">
        <v>0</v>
      </c>
      <c r="C2">
        <v>9700000</v>
      </c>
    </row>
    <row r="3" spans="2:13">
      <c r="B3" s="3" t="s">
        <v>1</v>
      </c>
      <c r="C3">
        <v>2024</v>
      </c>
    </row>
    <row r="5" spans="2:1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L5" s="6" t="s">
        <v>10</v>
      </c>
    </row>
    <row r="6" spans="2:13">
      <c r="B6" t="s">
        <v>11</v>
      </c>
      <c r="C6" t="s">
        <v>12</v>
      </c>
      <c r="D6">
        <v>95</v>
      </c>
      <c r="E6" s="1">
        <v>43831</v>
      </c>
      <c r="F6" s="1">
        <v>46752</v>
      </c>
      <c r="G6" s="44">
        <v>1950</v>
      </c>
      <c r="H6" s="2">
        <v>1</v>
      </c>
      <c r="I6" s="2">
        <f>1-H6</f>
        <v>0</v>
      </c>
      <c r="L6" s="5" t="s">
        <v>13</v>
      </c>
      <c r="M6" s="2">
        <v>0.7</v>
      </c>
    </row>
    <row r="7" spans="2:13">
      <c r="B7" t="s">
        <v>14</v>
      </c>
      <c r="C7" t="s">
        <v>12</v>
      </c>
      <c r="D7">
        <v>150</v>
      </c>
      <c r="E7" s="1">
        <v>43466</v>
      </c>
      <c r="F7" s="1">
        <v>45657</v>
      </c>
      <c r="G7" s="44">
        <v>1900</v>
      </c>
      <c r="H7" s="2">
        <v>1</v>
      </c>
      <c r="I7" s="2">
        <f t="shared" ref="I7:I12" si="0">1-H7</f>
        <v>0</v>
      </c>
      <c r="L7" s="5" t="s">
        <v>15</v>
      </c>
      <c r="M7" s="44">
        <v>9700000</v>
      </c>
    </row>
    <row r="8" spans="2:13">
      <c r="B8" t="s">
        <v>16</v>
      </c>
      <c r="C8" t="s">
        <v>12</v>
      </c>
      <c r="D8">
        <v>60</v>
      </c>
      <c r="E8" s="1">
        <v>43466</v>
      </c>
      <c r="F8" s="1">
        <v>46022</v>
      </c>
      <c r="G8" s="44">
        <v>1900</v>
      </c>
      <c r="H8" s="2">
        <v>0.75</v>
      </c>
      <c r="I8" s="2">
        <f t="shared" si="0"/>
        <v>0.25</v>
      </c>
      <c r="L8" s="5" t="s">
        <v>17</v>
      </c>
      <c r="M8" s="2">
        <v>0.3</v>
      </c>
    </row>
    <row r="9" spans="2:13">
      <c r="B9" t="s">
        <v>18</v>
      </c>
      <c r="C9" t="s">
        <v>19</v>
      </c>
      <c r="D9">
        <v>70</v>
      </c>
      <c r="E9" s="1">
        <v>44562</v>
      </c>
      <c r="F9" s="1">
        <v>46387</v>
      </c>
      <c r="G9" s="44">
        <v>1300</v>
      </c>
      <c r="H9" s="2">
        <v>0.75</v>
      </c>
      <c r="I9" s="2">
        <f t="shared" si="0"/>
        <v>0.25</v>
      </c>
      <c r="L9" s="5" t="s">
        <v>20</v>
      </c>
      <c r="M9" s="4">
        <v>6.6000000000000003E-2</v>
      </c>
    </row>
    <row r="10" spans="2:13">
      <c r="B10" t="s">
        <v>21</v>
      </c>
      <c r="C10" t="s">
        <v>19</v>
      </c>
      <c r="D10">
        <v>90</v>
      </c>
      <c r="E10" s="1">
        <v>44927</v>
      </c>
      <c r="F10" s="1">
        <v>48213</v>
      </c>
      <c r="G10" s="44">
        <v>1400</v>
      </c>
      <c r="H10" s="2">
        <v>1</v>
      </c>
      <c r="I10" s="2">
        <f t="shared" si="0"/>
        <v>0</v>
      </c>
      <c r="L10" s="5" t="s">
        <v>22</v>
      </c>
      <c r="M10">
        <v>30</v>
      </c>
    </row>
    <row r="11" spans="2:13">
      <c r="B11" t="s">
        <v>23</v>
      </c>
      <c r="C11" t="s">
        <v>19</v>
      </c>
      <c r="D11">
        <v>50</v>
      </c>
      <c r="E11" s="1">
        <v>44197</v>
      </c>
      <c r="F11" s="1">
        <v>47848</v>
      </c>
      <c r="G11" s="44">
        <v>1450</v>
      </c>
      <c r="H11" s="2">
        <v>1</v>
      </c>
      <c r="I11" s="2">
        <f t="shared" si="0"/>
        <v>0</v>
      </c>
    </row>
    <row r="12" spans="2:13">
      <c r="B12" t="s">
        <v>24</v>
      </c>
      <c r="C12" t="s">
        <v>19</v>
      </c>
      <c r="D12">
        <v>110</v>
      </c>
      <c r="E12" s="1">
        <v>44562</v>
      </c>
      <c r="F12" s="1">
        <v>46752</v>
      </c>
      <c r="G12" s="44">
        <v>1100</v>
      </c>
      <c r="H12" s="2">
        <v>0.75</v>
      </c>
      <c r="I12" s="2">
        <f t="shared" si="0"/>
        <v>0.25</v>
      </c>
    </row>
    <row r="13" spans="2:13">
      <c r="B13" s="3" t="s">
        <v>25</v>
      </c>
      <c r="D13">
        <f>SUM(D6,D7,D8,D9,D10,D11,D12)</f>
        <v>625</v>
      </c>
    </row>
    <row r="14" spans="2:13">
      <c r="B14" s="3" t="s">
        <v>26</v>
      </c>
      <c r="C14">
        <v>1430</v>
      </c>
      <c r="E14" s="3" t="s">
        <v>27</v>
      </c>
      <c r="F14" s="4">
        <v>2.3E-2</v>
      </c>
      <c r="L14" s="8" t="s">
        <v>28</v>
      </c>
    </row>
    <row r="15" spans="2:13">
      <c r="B15" s="3" t="s">
        <v>29</v>
      </c>
      <c r="C15">
        <v>1950</v>
      </c>
      <c r="E15" s="3" t="s">
        <v>30</v>
      </c>
      <c r="F15" s="4">
        <f>(1+F14)*(1+C25)-1</f>
        <v>4.4482999999999828E-2</v>
      </c>
      <c r="L15" s="7" t="s">
        <v>31</v>
      </c>
      <c r="M15" s="4">
        <v>8.7999999999999995E-2</v>
      </c>
    </row>
    <row r="16" spans="2:13">
      <c r="L16" s="7" t="s">
        <v>32</v>
      </c>
      <c r="M16" s="4">
        <v>2.1000000000000001E-2</v>
      </c>
    </row>
    <row r="17" spans="2:13">
      <c r="B17" s="3" t="s">
        <v>33</v>
      </c>
      <c r="C17" s="2">
        <v>0.05</v>
      </c>
      <c r="L17" s="7" t="s">
        <v>34</v>
      </c>
      <c r="M17" s="4">
        <v>0.106</v>
      </c>
    </row>
    <row r="18" spans="2:13">
      <c r="L18" s="7" t="s">
        <v>35</v>
      </c>
    </row>
    <row r="19" spans="2:13">
      <c r="B19" s="3" t="s">
        <v>36</v>
      </c>
      <c r="C19" s="3" t="s">
        <v>37</v>
      </c>
      <c r="D19" s="3" t="s">
        <v>38</v>
      </c>
    </row>
    <row r="20" spans="2:13">
      <c r="B20">
        <v>2024</v>
      </c>
      <c r="C20" t="s">
        <v>39</v>
      </c>
      <c r="D20" s="44">
        <v>290000</v>
      </c>
      <c r="L20" s="8" t="s">
        <v>40</v>
      </c>
    </row>
    <row r="21" spans="2:13">
      <c r="B21">
        <v>2025</v>
      </c>
      <c r="C21" t="s">
        <v>41</v>
      </c>
      <c r="D21" s="44">
        <v>160000</v>
      </c>
      <c r="L21" s="7" t="s">
        <v>42</v>
      </c>
      <c r="M21" s="4">
        <v>2.1999999999999999E-2</v>
      </c>
    </row>
    <row r="22" spans="2:13">
      <c r="B22">
        <v>2029</v>
      </c>
      <c r="C22" t="s">
        <v>43</v>
      </c>
      <c r="D22" s="44">
        <v>220000</v>
      </c>
    </row>
    <row r="24" spans="2:13">
      <c r="B24" s="3" t="s">
        <v>44</v>
      </c>
      <c r="C24">
        <v>360</v>
      </c>
    </row>
    <row r="25" spans="2:13">
      <c r="B25" s="3" t="s">
        <v>45</v>
      </c>
      <c r="C25" s="4">
        <v>2.1000000000000001E-2</v>
      </c>
    </row>
    <row r="26" spans="2:13">
      <c r="B26" s="3" t="s">
        <v>46</v>
      </c>
      <c r="C26" s="2">
        <v>0.02</v>
      </c>
    </row>
    <row r="27" spans="2:13">
      <c r="B27" s="3" t="s">
        <v>47</v>
      </c>
      <c r="C27" s="2">
        <v>0.03</v>
      </c>
    </row>
    <row r="29" spans="2:13">
      <c r="B29" s="3" t="s">
        <v>48</v>
      </c>
      <c r="C29">
        <v>150</v>
      </c>
    </row>
    <row r="30" spans="2:13">
      <c r="B30" s="3" t="s">
        <v>45</v>
      </c>
      <c r="C30" s="4">
        <v>2.1000000000000001E-2</v>
      </c>
    </row>
    <row r="34" spans="2:15">
      <c r="B34" s="24" t="s">
        <v>49</v>
      </c>
      <c r="C34" s="56"/>
      <c r="D34" s="56">
        <f>Calculation!D111</f>
        <v>691446.73881305079</v>
      </c>
      <c r="E34" s="56">
        <f>Calculation!E111</f>
        <v>697095.4528943206</v>
      </c>
      <c r="F34" s="56">
        <f>Calculation!F111</f>
        <v>721593.3524639617</v>
      </c>
      <c r="G34" s="56">
        <f>Calculation!G111</f>
        <v>749861.12391271908</v>
      </c>
      <c r="H34" s="56">
        <f>Calculation!H111</f>
        <v>816884.7188005005</v>
      </c>
      <c r="I34" s="56">
        <f>Calculation!I111</f>
        <v>831900.08912666002</v>
      </c>
      <c r="J34" s="56">
        <f>Calculation!J111</f>
        <v>847230.78222966928</v>
      </c>
      <c r="K34" s="56">
        <f>Calculation!K111</f>
        <v>870215.31052112137</v>
      </c>
      <c r="L34" s="56">
        <f>Calculation!L111</f>
        <v>915217.00322361314</v>
      </c>
      <c r="M34" s="56">
        <f>Calculation!M111</f>
        <v>932297.35152265814</v>
      </c>
      <c r="N34" s="57">
        <f>Calculation!N111</f>
        <v>1174487.7965650437</v>
      </c>
      <c r="O34" s="10"/>
    </row>
    <row r="35" spans="2:15">
      <c r="B35" s="25" t="s">
        <v>50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58">
        <f>Calculation!M116</f>
        <v>17795269.644924905</v>
      </c>
    </row>
    <row r="36" spans="2:15">
      <c r="B36" s="26" t="s">
        <v>51</v>
      </c>
      <c r="C36" s="44">
        <v>-9700000</v>
      </c>
      <c r="D36" s="44">
        <f>Calculation!D117</f>
        <v>395356.73881305079</v>
      </c>
      <c r="E36" s="44">
        <f>Calculation!E117</f>
        <v>530304.89289432066</v>
      </c>
      <c r="F36" s="44">
        <f>Calculation!F117</f>
        <v>721593.3524639617</v>
      </c>
      <c r="G36" s="44">
        <f>Calculation!G117</f>
        <v>749861.12391271908</v>
      </c>
      <c r="H36" s="44">
        <f>Calculation!H117</f>
        <v>816884.7188005005</v>
      </c>
      <c r="I36" s="44">
        <f>Calculation!I117</f>
        <v>582683.39352947834</v>
      </c>
      <c r="J36" s="44">
        <f>Calculation!J117</f>
        <v>847230.78222966928</v>
      </c>
      <c r="K36" s="44">
        <f>Calculation!K117</f>
        <v>870215.31052112137</v>
      </c>
      <c r="L36" s="44">
        <f>Calculation!L117</f>
        <v>915217.00322361314</v>
      </c>
      <c r="M36" s="44">
        <f>Calculation!M117</f>
        <v>18727566.996447563</v>
      </c>
      <c r="N36" s="59">
        <f>Calculation!N117</f>
        <v>0</v>
      </c>
    </row>
    <row r="37" spans="2:15">
      <c r="B37" s="26" t="s">
        <v>52</v>
      </c>
      <c r="C37" s="44">
        <f>Calculation!C120</f>
        <v>12192312.912841789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59"/>
    </row>
    <row r="38" spans="2:15">
      <c r="B38" s="27" t="s">
        <v>53</v>
      </c>
      <c r="C38" s="60">
        <f>Calculation!C121</f>
        <v>2492312.9128417894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1"/>
    </row>
    <row r="39" spans="2:15">
      <c r="C39" s="4"/>
    </row>
    <row r="41" spans="2:15">
      <c r="B41" s="53">
        <f>C38</f>
        <v>2492312.9128417894</v>
      </c>
      <c r="C41" s="22">
        <v>0.01</v>
      </c>
      <c r="D41" s="22">
        <v>2.1999999999999999E-2</v>
      </c>
      <c r="E41" s="22">
        <v>0.03</v>
      </c>
      <c r="G41" s="53">
        <f>C38</f>
        <v>2492312.9128417894</v>
      </c>
      <c r="H41" s="54">
        <v>1300</v>
      </c>
      <c r="I41" s="54">
        <v>1430</v>
      </c>
      <c r="J41" s="54">
        <v>1700</v>
      </c>
    </row>
    <row r="42" spans="2:15">
      <c r="B42" s="23">
        <v>0.06</v>
      </c>
      <c r="C42" s="55">
        <f t="dataTable" ref="C42:E44" dt2D="1" dtr="1" r1="M21" r2="M15"/>
        <v>8654267.2853290513</v>
      </c>
      <c r="D42" s="55">
        <v>12796337.924186729</v>
      </c>
      <c r="E42" s="55">
        <v>17398638.634028599</v>
      </c>
      <c r="G42" s="54">
        <v>1700</v>
      </c>
      <c r="H42" s="55">
        <f t="dataTable" ref="H42:J44" dt2D="1" dtr="1" r1="C14" r2="C15" ca="1"/>
        <v>853839.56105573848</v>
      </c>
      <c r="I42" s="55">
        <v>1372659.9793069884</v>
      </c>
      <c r="J42" s="55">
        <v>2450210.0787518919</v>
      </c>
    </row>
    <row r="43" spans="2:15">
      <c r="B43" s="22">
        <v>8.7999999999999995E-2</v>
      </c>
      <c r="C43" s="55">
        <v>1314429.6171435788</v>
      </c>
      <c r="D43" s="53">
        <v>2492312.9128417894</v>
      </c>
      <c r="E43" s="55">
        <v>3548346.2124332897</v>
      </c>
      <c r="G43" s="54">
        <v>1950</v>
      </c>
      <c r="H43" s="55">
        <v>1973492.4945905395</v>
      </c>
      <c r="I43" s="53">
        <v>2492312.9128417894</v>
      </c>
      <c r="J43" s="55">
        <v>3569863.0122866966</v>
      </c>
    </row>
    <row r="44" spans="2:15">
      <c r="B44" s="22">
        <v>0.11</v>
      </c>
      <c r="C44" s="55">
        <v>-1487357.47144535</v>
      </c>
      <c r="D44" s="55">
        <v>-923307.87263594195</v>
      </c>
      <c r="E44" s="55">
        <v>-453266.54029476829</v>
      </c>
      <c r="G44" s="54">
        <v>2100</v>
      </c>
      <c r="H44" s="55">
        <v>2645284.2547114231</v>
      </c>
      <c r="I44" s="55">
        <v>3164104.672962673</v>
      </c>
      <c r="J44" s="55">
        <v>4241654.7724075764</v>
      </c>
    </row>
    <row r="47" spans="2:15">
      <c r="B47" s="53">
        <f>C38</f>
        <v>2492312.9128417894</v>
      </c>
      <c r="C47" s="22">
        <v>0.01</v>
      </c>
      <c r="D47" s="22">
        <v>0.02</v>
      </c>
      <c r="E47" s="22">
        <v>0.03</v>
      </c>
    </row>
    <row r="48" spans="2:15">
      <c r="B48" s="22">
        <v>0.02</v>
      </c>
      <c r="C48" s="55">
        <f t="dataTable" ref="C48:E50" dt2D="1" dtr="1" r1="C26" r2="C27" ca="1"/>
        <v>2434301.48539171</v>
      </c>
      <c r="D48" s="55">
        <v>2464257.5735220276</v>
      </c>
      <c r="E48" s="55">
        <v>2494213.6616523452</v>
      </c>
    </row>
    <row r="49" spans="2:12">
      <c r="B49" s="22">
        <v>0.03</v>
      </c>
      <c r="C49" s="55">
        <v>2462643.1036841236</v>
      </c>
      <c r="D49" s="53">
        <v>2492312.9128417894</v>
      </c>
      <c r="E49" s="55">
        <v>2521982.721999459</v>
      </c>
    </row>
    <row r="50" spans="2:12">
      <c r="B50" s="22">
        <v>0.04</v>
      </c>
      <c r="C50" s="55">
        <v>2490984.7219765373</v>
      </c>
      <c r="D50" s="55">
        <v>2520368.252161555</v>
      </c>
      <c r="E50" s="55">
        <v>2549751.7823465709</v>
      </c>
    </row>
    <row r="59" spans="2:12">
      <c r="L59">
        <f>(K4*Assumptions!D10*Assumptions!I10)</f>
        <v>0</v>
      </c>
    </row>
    <row r="60" spans="2:12">
      <c r="L60" t="s">
        <v>54</v>
      </c>
    </row>
    <row r="86" spans="8:8">
      <c r="H86">
        <f>(G4*Assumptions!$D12*Assumptions!$I12)</f>
        <v>0</v>
      </c>
    </row>
    <row r="87" spans="8:8">
      <c r="H87" t="s">
        <v>55</v>
      </c>
    </row>
    <row r="109" spans="4:4">
      <c r="D109">
        <f>Assumptions!C24*Assumptions!D13</f>
        <v>225000</v>
      </c>
    </row>
    <row r="112" spans="4:4">
      <c r="D112" t="s">
        <v>56</v>
      </c>
    </row>
    <row r="118" spans="4:4">
      <c r="D118">
        <f>D117*(1+Assumptions!$C25)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9012-A5CF-4F5B-AF4B-45CF048E9028}">
  <dimension ref="B1:O148"/>
  <sheetViews>
    <sheetView topLeftCell="A95" workbookViewId="0">
      <selection activeCell="M116" sqref="M116"/>
    </sheetView>
  </sheetViews>
  <sheetFormatPr defaultRowHeight="15"/>
  <cols>
    <col min="2" max="2" width="38.42578125" bestFit="1" customWidth="1"/>
    <col min="3" max="3" width="11.5703125" bestFit="1" customWidth="1"/>
    <col min="4" max="4" width="13.7109375" bestFit="1" customWidth="1"/>
    <col min="5" max="6" width="12.5703125" bestFit="1" customWidth="1"/>
    <col min="7" max="8" width="14.85546875" bestFit="1" customWidth="1"/>
    <col min="9" max="9" width="13.7109375" bestFit="1" customWidth="1"/>
    <col min="10" max="10" width="14.85546875" bestFit="1" customWidth="1"/>
    <col min="11" max="11" width="13.7109375" bestFit="1" customWidth="1"/>
    <col min="12" max="12" width="14.7109375" customWidth="1"/>
    <col min="13" max="13" width="14.85546875" customWidth="1"/>
    <col min="14" max="14" width="13.42578125" customWidth="1"/>
  </cols>
  <sheetData>
    <row r="1" spans="2:14">
      <c r="C1">
        <v>2023</v>
      </c>
      <c r="D1">
        <v>2024</v>
      </c>
      <c r="E1">
        <f>D1+1</f>
        <v>2025</v>
      </c>
      <c r="F1">
        <f t="shared" ref="F1:M1" si="0">E1+1</f>
        <v>2026</v>
      </c>
      <c r="G1">
        <f t="shared" si="0"/>
        <v>2027</v>
      </c>
      <c r="H1">
        <f t="shared" si="0"/>
        <v>2028</v>
      </c>
      <c r="I1">
        <f t="shared" si="0"/>
        <v>2029</v>
      </c>
      <c r="J1">
        <f t="shared" si="0"/>
        <v>2030</v>
      </c>
      <c r="K1">
        <f t="shared" si="0"/>
        <v>2031</v>
      </c>
      <c r="L1">
        <f t="shared" si="0"/>
        <v>2032</v>
      </c>
      <c r="M1">
        <f t="shared" si="0"/>
        <v>2033</v>
      </c>
      <c r="N1">
        <v>2034</v>
      </c>
    </row>
    <row r="2" spans="2:14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</row>
    <row r="3" spans="2:14"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2:14">
      <c r="B4" s="16" t="s">
        <v>57</v>
      </c>
      <c r="D4" s="44">
        <f>Assumptions!C14</f>
        <v>1430</v>
      </c>
      <c r="E4" s="44">
        <f>$D4*(1+Assumptions!$F15)^Calculation!D2</f>
        <v>1493.6106899999997</v>
      </c>
      <c r="F4" s="44">
        <f>$D4*(1+Assumptions!$F15)^Calculation!E2</f>
        <v>1560.0509743232694</v>
      </c>
      <c r="G4" s="44">
        <f>$D4*(1+Assumptions!$F15)^Calculation!F2</f>
        <v>1629.4467218140912</v>
      </c>
      <c r="H4" s="44">
        <f>$D4*(1+Assumptions!$F15)^Calculation!G2</f>
        <v>1701.9294003405469</v>
      </c>
      <c r="I4" s="44">
        <f>$D4*(1+Assumptions!$F15)^Calculation!H2</f>
        <v>1777.6363258558952</v>
      </c>
      <c r="J4" s="44">
        <f>$D4*(1+Assumptions!$F15)^Calculation!I2</f>
        <v>1856.7109225389424</v>
      </c>
      <c r="K4" s="44">
        <f>$D4*(1+Assumptions!$F15)^Calculation!J2</f>
        <v>1939.3029945062419</v>
      </c>
      <c r="L4" s="44">
        <f>$D4*(1+Assumptions!$F15)^Calculation!K2</f>
        <v>2025.5690096108626</v>
      </c>
      <c r="M4" s="44">
        <f>$D4*(1+Assumptions!$F15)^Calculation!L2</f>
        <v>2115.6723958653824</v>
      </c>
      <c r="N4" s="44">
        <f>$D4*(1+Assumptions!$F15)^Calculation!M2</f>
        <v>2209.7838510506613</v>
      </c>
    </row>
    <row r="5" spans="2:14">
      <c r="B5" s="16" t="s">
        <v>58</v>
      </c>
      <c r="D5" s="44">
        <f>Assumptions!C15</f>
        <v>1950</v>
      </c>
      <c r="E5" s="44">
        <f>$D5*(1+Assumptions!$F15)^Calculation!D2</f>
        <v>2036.7418499999997</v>
      </c>
      <c r="F5" s="44">
        <f>$D5*(1+Assumptions!$F15)^Calculation!E2</f>
        <v>2127.3422377135489</v>
      </c>
      <c r="G5" s="44">
        <f>$D5*(1+Assumptions!$F15)^Calculation!F2</f>
        <v>2221.9728024737606</v>
      </c>
      <c r="H5" s="44">
        <f>$D5*(1+Assumptions!$F15)^Calculation!G2</f>
        <v>2320.8128186462004</v>
      </c>
      <c r="I5" s="44">
        <f>$D5*(1+Assumptions!$F15)^Calculation!H2</f>
        <v>2424.0495352580392</v>
      </c>
      <c r="J5" s="44">
        <f>$D5*(1+Assumptions!$F15)^Calculation!I2</f>
        <v>2531.8785307349217</v>
      </c>
      <c r="K5" s="44">
        <f>$D5*(1+Assumptions!$F15)^Calculation!J2</f>
        <v>2644.5040834176025</v>
      </c>
      <c r="L5" s="44">
        <f>$D5*(1+Assumptions!$F15)^Calculation!K2</f>
        <v>2762.1395585602672</v>
      </c>
      <c r="M5" s="44">
        <f>$D5*(1+Assumptions!$F15)^Calculation!L2</f>
        <v>2885.0078125437035</v>
      </c>
      <c r="N5" s="44">
        <f>$D5*(1+Assumptions!$F15)^Calculation!M2</f>
        <v>3013.3416150690837</v>
      </c>
    </row>
    <row r="6" spans="2:14"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2:14">
      <c r="B7" s="15" t="s">
        <v>11</v>
      </c>
      <c r="C7" s="14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2:14">
      <c r="B8" t="s">
        <v>59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/>
    </row>
    <row r="9" spans="2:14">
      <c r="B9" s="11" t="s">
        <v>60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2:14">
      <c r="B10" t="s">
        <v>61</v>
      </c>
      <c r="D10" s="44">
        <f>(Assumptions!$D6*Assumptions!$G6)*Assumptions!$I6</f>
        <v>0</v>
      </c>
      <c r="E10" s="44">
        <f>(Assumptions!$D6*Assumptions!$G6)*Assumptions!$I6</f>
        <v>0</v>
      </c>
      <c r="F10" s="44">
        <f>(Assumptions!$D6*Assumptions!$G6)*Assumptions!$I6</f>
        <v>0</v>
      </c>
      <c r="G10" s="44">
        <f>(Assumptions!$D6*Assumptions!$G6)*Assumptions!$I6</f>
        <v>0</v>
      </c>
      <c r="H10" s="44"/>
      <c r="I10" s="44"/>
      <c r="J10" s="44"/>
      <c r="K10" s="44"/>
      <c r="L10" s="44"/>
      <c r="M10" s="44"/>
      <c r="N10" s="44"/>
    </row>
    <row r="11" spans="2:14">
      <c r="B11" t="s">
        <v>62</v>
      </c>
      <c r="D11" s="44">
        <f>(Assumptions!G6*Assumptions!D6)*Assumptions!H6*(1+Assumptions!C25)^Calculation!D8</f>
        <v>201308.06992860514</v>
      </c>
      <c r="E11" s="44">
        <f>(Assumptions!$G6*Assumptions!$D6)*Assumptions!$H6*(1+Assumptions!$C25)^Calculation!E8</f>
        <v>205535.53939710584</v>
      </c>
      <c r="F11" s="44">
        <f>(Assumptions!$G6*Assumptions!$D6)*Assumptions!$H6*(1+Assumptions!$C25)^Calculation!F8</f>
        <v>209851.78572444504</v>
      </c>
      <c r="G11" s="44">
        <f>(Assumptions!$G6*Assumptions!$D6)*Assumptions!$H6*(1+Assumptions!$C25)^Calculation!G8</f>
        <v>214258.67322465836</v>
      </c>
      <c r="H11" s="44"/>
      <c r="I11" s="44"/>
      <c r="J11" s="44"/>
      <c r="K11" s="44"/>
      <c r="L11" s="44"/>
      <c r="M11" s="44"/>
      <c r="N11" s="44"/>
    </row>
    <row r="12" spans="2:14">
      <c r="B12" t="s">
        <v>63</v>
      </c>
      <c r="D12" s="44">
        <f>D10+D11</f>
        <v>201308.06992860514</v>
      </c>
      <c r="E12" s="44">
        <f t="shared" ref="E12:G12" si="1">E10+E11</f>
        <v>205535.53939710584</v>
      </c>
      <c r="F12" s="44">
        <f>F10+F11</f>
        <v>209851.78572444504</v>
      </c>
      <c r="G12" s="44">
        <f t="shared" si="1"/>
        <v>214258.67322465836</v>
      </c>
      <c r="H12" s="44"/>
      <c r="I12" s="44"/>
      <c r="J12" s="44"/>
      <c r="K12" s="44"/>
      <c r="L12" s="44"/>
      <c r="M12" s="44"/>
      <c r="N12" s="44"/>
    </row>
    <row r="13" spans="2:14">
      <c r="B13" s="11" t="s">
        <v>64</v>
      </c>
      <c r="D13" s="44"/>
      <c r="E13" s="44"/>
      <c r="F13" s="44"/>
      <c r="G13" s="44"/>
      <c r="H13" s="44">
        <f>($H5*Assumptions!$D6)</f>
        <v>220477.21777138903</v>
      </c>
      <c r="I13" s="44"/>
      <c r="J13" s="44"/>
      <c r="K13" s="44"/>
      <c r="L13" s="44"/>
      <c r="M13" s="44"/>
      <c r="N13" s="44">
        <f>(N5*Assumptions!D6)</f>
        <v>286267.45343156293</v>
      </c>
    </row>
    <row r="14" spans="2:14">
      <c r="B14" t="s">
        <v>61</v>
      </c>
      <c r="D14" s="44"/>
      <c r="E14" s="44"/>
      <c r="F14" s="44"/>
      <c r="G14" s="44"/>
      <c r="H14" s="44"/>
      <c r="I14" s="44">
        <f>($H5*Assumptions!$D6)*Assumptions!$I6</f>
        <v>0</v>
      </c>
      <c r="J14" s="44">
        <f>($H5*Assumptions!$D6)*Assumptions!$I6</f>
        <v>0</v>
      </c>
      <c r="K14" s="44">
        <f>($H5*Assumptions!$D6)*Assumptions!$I6</f>
        <v>0</v>
      </c>
      <c r="L14" s="44">
        <f>($H5*Assumptions!$D6)*Assumptions!$I6</f>
        <v>0</v>
      </c>
      <c r="M14" s="44">
        <f>($H5*Assumptions!$D6)*Assumptions!$I6</f>
        <v>0</v>
      </c>
      <c r="N14" s="44"/>
    </row>
    <row r="15" spans="2:14">
      <c r="B15" t="s">
        <v>62</v>
      </c>
      <c r="D15" s="44"/>
      <c r="E15" s="44"/>
      <c r="F15" s="44"/>
      <c r="G15" s="44"/>
      <c r="H15" s="44"/>
      <c r="I15" s="44">
        <f>($H5*Assumptions!$D6)*Assumptions!$H6*(1+Assumptions!$C25)^D2</f>
        <v>225107.23934458819</v>
      </c>
      <c r="J15" s="44">
        <f>($H5*Assumptions!$D6)*Assumptions!$H6*(1+Assumptions!$C25)^E2</f>
        <v>229834.49137082449</v>
      </c>
      <c r="K15" s="44">
        <f>($H5*Assumptions!$D6)*Assumptions!$H6*(1+Assumptions!$C25)^F2</f>
        <v>234661.01568961178</v>
      </c>
      <c r="L15" s="44">
        <f>($H5*Assumptions!$D6)*Assumptions!$H6*(1+Assumptions!$C25)^G2</f>
        <v>239588.89701909359</v>
      </c>
      <c r="M15" s="44">
        <f>($H5*Assumptions!$D6)*Assumptions!$H6*(1+Assumptions!$C25)^H2</f>
        <v>244620.26385649454</v>
      </c>
      <c r="N15" s="44"/>
    </row>
    <row r="16" spans="2:14">
      <c r="B16" t="s">
        <v>63</v>
      </c>
      <c r="D16" s="44"/>
      <c r="E16" s="44"/>
      <c r="F16" s="44"/>
      <c r="G16" s="44"/>
      <c r="H16" s="44"/>
      <c r="I16" s="44">
        <f>I14+I15</f>
        <v>225107.23934458819</v>
      </c>
      <c r="J16" s="44">
        <f t="shared" ref="J16:M16" si="2">J14+J15</f>
        <v>229834.49137082449</v>
      </c>
      <c r="K16" s="44">
        <f t="shared" si="2"/>
        <v>234661.01568961178</v>
      </c>
      <c r="L16" s="44">
        <f t="shared" si="2"/>
        <v>239588.89701909359</v>
      </c>
      <c r="M16" s="44">
        <f t="shared" si="2"/>
        <v>244620.26385649454</v>
      </c>
      <c r="N16" s="44"/>
    </row>
    <row r="17" spans="2:14">
      <c r="B17" s="11" t="s">
        <v>65</v>
      </c>
      <c r="D17" s="45">
        <f>D12</f>
        <v>201308.06992860514</v>
      </c>
      <c r="E17" s="45">
        <f t="shared" ref="E17:G17" si="3">E12</f>
        <v>205535.53939710584</v>
      </c>
      <c r="F17" s="45">
        <f t="shared" si="3"/>
        <v>209851.78572444504</v>
      </c>
      <c r="G17" s="45">
        <f t="shared" si="3"/>
        <v>214258.67322465836</v>
      </c>
      <c r="H17" s="45">
        <f>H13</f>
        <v>220477.21777138903</v>
      </c>
      <c r="I17" s="45">
        <f>I16</f>
        <v>225107.23934458819</v>
      </c>
      <c r="J17" s="45">
        <f t="shared" ref="J17:M17" si="4">J16</f>
        <v>229834.49137082449</v>
      </c>
      <c r="K17" s="45">
        <f t="shared" si="4"/>
        <v>234661.01568961178</v>
      </c>
      <c r="L17" s="45">
        <f t="shared" si="4"/>
        <v>239588.89701909359</v>
      </c>
      <c r="M17" s="45">
        <f t="shared" si="4"/>
        <v>244620.26385649454</v>
      </c>
      <c r="N17" s="45">
        <f>N13</f>
        <v>286267.45343156293</v>
      </c>
    </row>
    <row r="18" spans="2:14"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>
      <c r="B19" s="15" t="s">
        <v>14</v>
      </c>
      <c r="C19" s="14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2:14">
      <c r="B20" t="s">
        <v>59</v>
      </c>
      <c r="D20" s="44">
        <v>5</v>
      </c>
      <c r="E20" s="44">
        <v>6</v>
      </c>
      <c r="F20" s="44">
        <v>7</v>
      </c>
      <c r="G20" s="44">
        <v>8</v>
      </c>
      <c r="H20" s="44">
        <v>9</v>
      </c>
      <c r="I20" s="44">
        <v>10</v>
      </c>
      <c r="J20" s="44">
        <v>11</v>
      </c>
      <c r="K20" s="44">
        <v>12</v>
      </c>
      <c r="L20" s="44">
        <v>13</v>
      </c>
      <c r="M20" s="44">
        <v>14</v>
      </c>
      <c r="N20" s="44"/>
    </row>
    <row r="21" spans="2:14">
      <c r="B21" s="12" t="s">
        <v>60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2:14">
      <c r="B22" t="s">
        <v>61</v>
      </c>
      <c r="D22" s="44">
        <f>Assumptions!$D7*Assumptions!$G7*Assumptions!$I7</f>
        <v>0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>
      <c r="B23" t="s">
        <v>62</v>
      </c>
      <c r="D23" s="44">
        <f>(Assumptions!D7*Assumptions!G7*Assumptions!H7)*(1+Assumptions!C25)^Calculation!D20</f>
        <v>316208.52214939357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2:14">
      <c r="B24" t="s">
        <v>66</v>
      </c>
      <c r="D24" s="44">
        <f>D22+D23</f>
        <v>316208.52214939357</v>
      </c>
      <c r="E24" s="44">
        <f>Calculation!D109</f>
        <v>225000</v>
      </c>
      <c r="F24" s="44"/>
      <c r="G24" s="44"/>
      <c r="H24" s="44"/>
      <c r="I24" s="44"/>
      <c r="J24" s="44"/>
      <c r="K24" s="44"/>
      <c r="L24" s="44"/>
      <c r="M24" s="44"/>
      <c r="N24" s="44"/>
    </row>
    <row r="25" spans="2:14">
      <c r="B25" s="12" t="s">
        <v>67</v>
      </c>
      <c r="D25" s="44"/>
      <c r="E25" s="44">
        <f>($E5*Assumptions!$D7)</f>
        <v>305511.27749999997</v>
      </c>
      <c r="F25" s="44"/>
      <c r="G25" s="44"/>
      <c r="H25" s="44"/>
      <c r="I25" s="44"/>
      <c r="J25" s="44"/>
      <c r="K25" s="44"/>
      <c r="L25" s="44"/>
      <c r="M25" s="44"/>
      <c r="N25" s="44">
        <f>N5*Assumptions!D7</f>
        <v>452001.24226036255</v>
      </c>
    </row>
    <row r="26" spans="2:14">
      <c r="B26" t="s">
        <v>9</v>
      </c>
      <c r="D26" s="44"/>
      <c r="E26" s="44"/>
      <c r="F26" s="44">
        <f>($E5*Assumptions!$D7*Assumptions!$I7)</f>
        <v>0</v>
      </c>
      <c r="G26" s="44">
        <f>($E5*Assumptions!$D7*Assumptions!$I7)</f>
        <v>0</v>
      </c>
      <c r="H26" s="44">
        <f>($E5*Assumptions!$D7*Assumptions!$I7)</f>
        <v>0</v>
      </c>
      <c r="I26" s="44">
        <f>($E5*Assumptions!$D7*Assumptions!$I7)</f>
        <v>0</v>
      </c>
      <c r="J26" s="44">
        <f>($E5*Assumptions!$D7*Assumptions!$I7)</f>
        <v>0</v>
      </c>
      <c r="K26" s="44">
        <f>($E5*Assumptions!$D7*Assumptions!$I7)</f>
        <v>0</v>
      </c>
      <c r="L26" s="44">
        <f>($E5*Assumptions!$D7*Assumptions!$I7)</f>
        <v>0</v>
      </c>
      <c r="M26" s="44">
        <f>($E5*Assumptions!$D7*Assumptions!$I7)</f>
        <v>0</v>
      </c>
      <c r="N26" s="44"/>
    </row>
    <row r="27" spans="2:14">
      <c r="B27" t="s">
        <v>62</v>
      </c>
      <c r="D27" s="44"/>
      <c r="E27" s="44"/>
      <c r="F27" s="44">
        <f>(Calculation!$E5*Assumptions!$D7*Assumptions!$H7)*(1+Assumptions!$C25)^Calculation!D2</f>
        <v>311927.01432749996</v>
      </c>
      <c r="G27" s="44">
        <f>(Calculation!$E5*Assumptions!$D7*Assumptions!$H7)*(1+Assumptions!$C25)^Calculation!E2</f>
        <v>318477.4816283774</v>
      </c>
      <c r="H27" s="44">
        <f>(Calculation!$E5*Assumptions!$D7*Assumptions!$H7)*(1+Assumptions!$C25)^Calculation!F2</f>
        <v>325165.50874257326</v>
      </c>
      <c r="I27" s="44">
        <f>(Calculation!$E5*Assumptions!$D7*Assumptions!$H7)*(1+Assumptions!$C25)^Calculation!G2</f>
        <v>331993.98442616727</v>
      </c>
      <c r="J27" s="44">
        <f>(Calculation!$E5*Assumptions!$D7*Assumptions!$H7)*(1+Assumptions!$C25)^Calculation!H2</f>
        <v>338965.85809911671</v>
      </c>
      <c r="K27" s="44">
        <f>(Calculation!$E5*Assumptions!$D7*Assumptions!$H7)*(1+Assumptions!$C25)^Calculation!I2</f>
        <v>346084.14111919818</v>
      </c>
      <c r="L27" s="44">
        <f>(Calculation!$E5*Assumptions!$D7*Assumptions!$H7)*(1+Assumptions!$C25)^Calculation!J2</f>
        <v>353351.90808270127</v>
      </c>
      <c r="M27" s="44">
        <f>(Calculation!$E5*Assumptions!$D7*Assumptions!$H7)*(1+Assumptions!$C25)^Calculation!K2</f>
        <v>360772.29815243796</v>
      </c>
      <c r="N27" s="44"/>
    </row>
    <row r="28" spans="2:14">
      <c r="B28" t="s">
        <v>66</v>
      </c>
      <c r="D28" s="44"/>
      <c r="E28" s="44"/>
      <c r="F28" s="44">
        <f>F26+F27</f>
        <v>311927.01432749996</v>
      </c>
      <c r="G28" s="44">
        <f t="shared" ref="G28:M28" si="5">G26+G27</f>
        <v>318477.4816283774</v>
      </c>
      <c r="H28" s="44">
        <f t="shared" si="5"/>
        <v>325165.50874257326</v>
      </c>
      <c r="I28" s="44">
        <f t="shared" si="5"/>
        <v>331993.98442616727</v>
      </c>
      <c r="J28" s="44">
        <f t="shared" si="5"/>
        <v>338965.85809911671</v>
      </c>
      <c r="K28" s="44">
        <f t="shared" si="5"/>
        <v>346084.14111919818</v>
      </c>
      <c r="L28" s="44">
        <f t="shared" si="5"/>
        <v>353351.90808270127</v>
      </c>
      <c r="M28" s="44">
        <f t="shared" si="5"/>
        <v>360772.29815243796</v>
      </c>
      <c r="N28" s="44"/>
    </row>
    <row r="29" spans="2:14">
      <c r="B29" s="11" t="s">
        <v>68</v>
      </c>
      <c r="D29" s="45">
        <f>D23</f>
        <v>316208.52214939357</v>
      </c>
      <c r="E29" s="45">
        <f>E25</f>
        <v>305511.27749999997</v>
      </c>
      <c r="F29" s="45">
        <f t="shared" ref="F29:M29" si="6">F27</f>
        <v>311927.01432749996</v>
      </c>
      <c r="G29" s="45">
        <f t="shared" si="6"/>
        <v>318477.4816283774</v>
      </c>
      <c r="H29" s="45">
        <f t="shared" si="6"/>
        <v>325165.50874257326</v>
      </c>
      <c r="I29" s="45">
        <f t="shared" si="6"/>
        <v>331993.98442616727</v>
      </c>
      <c r="J29" s="45">
        <f t="shared" si="6"/>
        <v>338965.85809911671</v>
      </c>
      <c r="K29" s="45">
        <f t="shared" si="6"/>
        <v>346084.14111919818</v>
      </c>
      <c r="L29" s="45">
        <f t="shared" si="6"/>
        <v>353351.90808270127</v>
      </c>
      <c r="M29" s="45">
        <f t="shared" si="6"/>
        <v>360772.29815243796</v>
      </c>
      <c r="N29" s="44">
        <f>N25</f>
        <v>452001.24226036255</v>
      </c>
    </row>
    <row r="30" spans="2:14"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2:14">
      <c r="B31" s="15" t="s">
        <v>16</v>
      </c>
      <c r="C31" s="14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2:14">
      <c r="B32" t="s">
        <v>69</v>
      </c>
      <c r="D32" s="44">
        <v>5</v>
      </c>
      <c r="E32" s="44">
        <v>6</v>
      </c>
      <c r="F32" s="44">
        <v>7</v>
      </c>
      <c r="G32" s="44">
        <v>8</v>
      </c>
      <c r="H32" s="44">
        <v>9</v>
      </c>
      <c r="I32" s="44">
        <v>10</v>
      </c>
      <c r="J32" s="44">
        <v>11</v>
      </c>
      <c r="K32" s="44">
        <v>12</v>
      </c>
      <c r="L32" s="44">
        <v>13</v>
      </c>
      <c r="M32" s="44">
        <v>14</v>
      </c>
      <c r="N32" s="44"/>
    </row>
    <row r="33" spans="2:14">
      <c r="B33" s="12" t="s">
        <v>70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>
      <c r="B34" t="s">
        <v>9</v>
      </c>
      <c r="D34" s="44">
        <f>(Assumptions!$D8*Assumptions!$G8)*Assumptions!$I8</f>
        <v>28500</v>
      </c>
      <c r="E34" s="44">
        <f>(Assumptions!$D8*Assumptions!$G8)*Assumptions!$I8</f>
        <v>28500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>
      <c r="B35" t="s">
        <v>71</v>
      </c>
      <c r="D35" s="44">
        <f>(Assumptions!$D8*Assumptions!$G8)*Assumptions!$H8*(1+Assumptions!$C25)^Calculation!D32</f>
        <v>94862.556644818076</v>
      </c>
      <c r="E35" s="44">
        <f>(Assumptions!$D8*Assumptions!$G8)*Assumptions!$H8*(1+Assumptions!$C25)^Calculation!E32</f>
        <v>96854.670334359253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>
      <c r="B36" t="s">
        <v>66</v>
      </c>
      <c r="D36" s="44">
        <f>D34+D35</f>
        <v>123362.55664481808</v>
      </c>
      <c r="E36" s="44">
        <f>E34+E35</f>
        <v>125354.67033435925</v>
      </c>
      <c r="F36" s="44"/>
      <c r="G36" s="44"/>
      <c r="H36" s="44"/>
      <c r="I36" s="44"/>
      <c r="J36" s="44"/>
      <c r="K36" s="44"/>
      <c r="L36" s="44"/>
      <c r="M36" s="44"/>
      <c r="N36" s="44"/>
    </row>
    <row r="37" spans="2:14">
      <c r="B37" s="12" t="s">
        <v>67</v>
      </c>
      <c r="D37" s="44"/>
      <c r="E37" s="44"/>
      <c r="F37" s="44">
        <f>($F5*Assumptions!$D8)</f>
        <v>127640.53426281293</v>
      </c>
      <c r="G37" s="44"/>
      <c r="H37" s="44"/>
      <c r="I37" s="44"/>
      <c r="J37" s="44"/>
      <c r="K37" s="44"/>
      <c r="L37" s="44"/>
      <c r="M37" s="44"/>
      <c r="N37" s="44">
        <f>N5*Assumptions!D8</f>
        <v>180800.49690414502</v>
      </c>
    </row>
    <row r="38" spans="2:14">
      <c r="B38" t="s">
        <v>9</v>
      </c>
      <c r="D38" s="44"/>
      <c r="E38" s="44"/>
      <c r="F38" s="44"/>
      <c r="G38" s="44">
        <f>($F5*Assumptions!$D8)*Assumptions!$I8</f>
        <v>31910.133565703232</v>
      </c>
      <c r="H38" s="44">
        <f>($F5*Assumptions!$D8)*Assumptions!$I8</f>
        <v>31910.133565703232</v>
      </c>
      <c r="I38" s="44">
        <f>($F5*Assumptions!$D8)*Assumptions!$I8</f>
        <v>31910.133565703232</v>
      </c>
      <c r="J38" s="44">
        <f>($F5*Assumptions!$D8)*Assumptions!$I8</f>
        <v>31910.133565703232</v>
      </c>
      <c r="K38" s="44">
        <f>($F5*Assumptions!$D8)*Assumptions!$I8</f>
        <v>31910.133565703232</v>
      </c>
      <c r="L38" s="44">
        <f>($F5*Assumptions!$D8)*Assumptions!$I8</f>
        <v>31910.133565703232</v>
      </c>
      <c r="M38" s="44">
        <f>($F5*Assumptions!$D8)*Assumptions!$I8</f>
        <v>31910.133565703232</v>
      </c>
      <c r="N38" s="44"/>
    </row>
    <row r="39" spans="2:14">
      <c r="B39" t="s">
        <v>62</v>
      </c>
      <c r="D39" s="44"/>
      <c r="E39" s="44"/>
      <c r="F39" s="44"/>
      <c r="G39" s="44">
        <f>($F5*Assumptions!$D8)*Assumptions!$H8*(1+Assumptions!$C25)^D2</f>
        <v>97740.73911174899</v>
      </c>
      <c r="H39" s="44">
        <f>($F5*Assumptions!$D8)*Assumptions!$H8*(1+Assumptions!$C25)^E2</f>
        <v>99793.294633095706</v>
      </c>
      <c r="I39" s="44">
        <f>($F5*Assumptions!$D8)*Assumptions!$H8*(1+Assumptions!$C25)^F2</f>
        <v>101888.95382039071</v>
      </c>
      <c r="J39" s="44">
        <f>($F5*Assumptions!$D8)*Assumptions!$H8*(1+Assumptions!$C25)^G2</f>
        <v>104028.62185061889</v>
      </c>
      <c r="K39" s="44">
        <f>($F5*Assumptions!$D8)*Assumptions!$H8*(1+Assumptions!$C25)^H2</f>
        <v>106213.22290948188</v>
      </c>
      <c r="L39" s="44">
        <f>($F5*Assumptions!$D8)*Assumptions!$H8*(1+Assumptions!$C25)^I2</f>
        <v>108443.70059058099</v>
      </c>
      <c r="M39" s="44">
        <f>($F5*Assumptions!$D8)*Assumptions!$H8*(1+Assumptions!$C25)^J2</f>
        <v>110721.01830298318</v>
      </c>
      <c r="N39" s="44"/>
    </row>
    <row r="40" spans="2:14">
      <c r="B40" t="s">
        <v>66</v>
      </c>
      <c r="D40" s="44"/>
      <c r="E40" s="44"/>
      <c r="F40" s="44"/>
      <c r="G40" s="44">
        <f t="shared" ref="G40:M40" si="7">G38+G39</f>
        <v>129650.87267745222</v>
      </c>
      <c r="H40" s="44">
        <f t="shared" si="7"/>
        <v>131703.42819879894</v>
      </c>
      <c r="I40" s="44">
        <f t="shared" si="7"/>
        <v>133799.08738609395</v>
      </c>
      <c r="J40" s="44">
        <f t="shared" si="7"/>
        <v>135938.75541632212</v>
      </c>
      <c r="K40" s="44">
        <f t="shared" si="7"/>
        <v>138123.35647518511</v>
      </c>
      <c r="L40" s="44">
        <f t="shared" si="7"/>
        <v>140353.83415628423</v>
      </c>
      <c r="M40" s="44">
        <f t="shared" si="7"/>
        <v>142631.15186868643</v>
      </c>
      <c r="N40" s="44"/>
    </row>
    <row r="41" spans="2:14">
      <c r="B41" s="11" t="s">
        <v>68</v>
      </c>
      <c r="D41" s="45">
        <f>D36</f>
        <v>123362.55664481808</v>
      </c>
      <c r="E41" s="45">
        <f>E36</f>
        <v>125354.67033435925</v>
      </c>
      <c r="F41" s="45">
        <f>F37</f>
        <v>127640.53426281293</v>
      </c>
      <c r="G41" s="45">
        <f t="shared" ref="G41:M41" si="8">G40</f>
        <v>129650.87267745222</v>
      </c>
      <c r="H41" s="45">
        <f t="shared" si="8"/>
        <v>131703.42819879894</v>
      </c>
      <c r="I41" s="45">
        <f t="shared" si="8"/>
        <v>133799.08738609395</v>
      </c>
      <c r="J41" s="45">
        <f t="shared" si="8"/>
        <v>135938.75541632212</v>
      </c>
      <c r="K41" s="45">
        <f t="shared" si="8"/>
        <v>138123.35647518511</v>
      </c>
      <c r="L41" s="45">
        <f t="shared" si="8"/>
        <v>140353.83415628423</v>
      </c>
      <c r="M41" s="45">
        <f t="shared" si="8"/>
        <v>142631.15186868643</v>
      </c>
      <c r="N41" s="44">
        <f>N37</f>
        <v>180800.49690414502</v>
      </c>
    </row>
    <row r="42" spans="2:14"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>
      <c r="B43" s="15" t="s">
        <v>18</v>
      </c>
      <c r="C43" s="14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 spans="2:14">
      <c r="B44" t="s">
        <v>69</v>
      </c>
      <c r="D44" s="44">
        <v>2</v>
      </c>
      <c r="E44" s="44">
        <v>3</v>
      </c>
      <c r="F44" s="44">
        <v>4</v>
      </c>
      <c r="G44" s="44">
        <v>5</v>
      </c>
      <c r="H44" s="44">
        <v>6</v>
      </c>
      <c r="I44" s="44">
        <v>7</v>
      </c>
      <c r="J44" s="44">
        <v>8</v>
      </c>
      <c r="K44" s="44">
        <v>9</v>
      </c>
      <c r="L44" s="44">
        <v>10</v>
      </c>
      <c r="M44" s="44">
        <v>11</v>
      </c>
      <c r="N44" s="44"/>
    </row>
    <row r="45" spans="2:14">
      <c r="B45" s="12" t="s">
        <v>70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2:14">
      <c r="B46" t="s">
        <v>9</v>
      </c>
      <c r="D46" s="44">
        <f>(Assumptions!$D9*Assumptions!$G9)*Assumptions!$I9</f>
        <v>22750</v>
      </c>
      <c r="E46" s="44">
        <f>(Assumptions!$D9*Assumptions!$G9)*Assumptions!$I9</f>
        <v>22750</v>
      </c>
      <c r="F46" s="44">
        <f>(Assumptions!$D9*Assumptions!$G9)*Assumptions!$I9</f>
        <v>22750</v>
      </c>
      <c r="G46" s="44"/>
      <c r="H46" s="44"/>
      <c r="I46" s="44"/>
      <c r="J46" s="44"/>
      <c r="K46" s="44"/>
      <c r="L46" s="44"/>
      <c r="M46" s="44"/>
      <c r="N46" s="44"/>
    </row>
    <row r="47" spans="2:14">
      <c r="B47" t="s">
        <v>71</v>
      </c>
      <c r="D47" s="44">
        <f>(Assumptions!$D9*Assumptions!$G9)*Assumptions!$H9*(1+Assumptions!$C25)^Calculation!D44</f>
        <v>71146.598249999981</v>
      </c>
      <c r="E47" s="44">
        <f>(Assumptions!$D9*Assumptions!$G9)*Assumptions!$H9*(1+Assumptions!$C25)^Calculation!E44</f>
        <v>72640.676813249971</v>
      </c>
      <c r="F47" s="44">
        <f>(Assumptions!$D9*Assumptions!$G9)*Assumptions!$H9*(1+Assumptions!$C25)^Calculation!F44</f>
        <v>74166.131026328207</v>
      </c>
      <c r="G47" s="44"/>
      <c r="H47" s="44"/>
      <c r="I47" s="44"/>
      <c r="J47" s="44"/>
      <c r="K47" s="44"/>
      <c r="L47" s="44"/>
      <c r="M47" s="44"/>
      <c r="N47" s="44"/>
    </row>
    <row r="48" spans="2:14">
      <c r="B48" t="s">
        <v>66</v>
      </c>
      <c r="D48" s="44">
        <f>D46+D47</f>
        <v>93896.598249999981</v>
      </c>
      <c r="E48" s="44">
        <f t="shared" ref="E48:F48" si="9">E46+E47</f>
        <v>95390.676813249971</v>
      </c>
      <c r="F48" s="44">
        <f t="shared" si="9"/>
        <v>96916.131026328207</v>
      </c>
      <c r="G48" s="44"/>
      <c r="H48" s="44"/>
      <c r="I48" s="44"/>
      <c r="J48" s="44"/>
      <c r="K48" s="44"/>
      <c r="L48" s="44"/>
      <c r="M48" s="44"/>
      <c r="N48" s="44"/>
    </row>
    <row r="49" spans="2:14">
      <c r="B49" s="12" t="s">
        <v>67</v>
      </c>
      <c r="D49" s="44"/>
      <c r="E49" s="44"/>
      <c r="F49" s="44"/>
      <c r="G49" s="44">
        <f>(G4*Assumptions!D9)</f>
        <v>114061.27052698638</v>
      </c>
      <c r="H49" s="44"/>
      <c r="I49" s="44"/>
      <c r="J49" s="44"/>
      <c r="K49" s="44"/>
      <c r="L49" s="44"/>
      <c r="M49" s="44"/>
      <c r="N49" s="44">
        <f>N4*Assumptions!D9</f>
        <v>154684.86957354628</v>
      </c>
    </row>
    <row r="50" spans="2:14">
      <c r="B50" t="s">
        <v>9</v>
      </c>
      <c r="D50" s="44"/>
      <c r="E50" s="44"/>
      <c r="F50" s="44"/>
      <c r="G50" s="44"/>
      <c r="H50" s="44">
        <f>$G4*Assumptions!$D9*Assumptions!$I9</f>
        <v>28515.317631746595</v>
      </c>
      <c r="I50" s="44">
        <f>$G4*Assumptions!$D9*Assumptions!$I9</f>
        <v>28515.317631746595</v>
      </c>
      <c r="J50" s="44">
        <f>$G4*Assumptions!$D9*Assumptions!$I9</f>
        <v>28515.317631746595</v>
      </c>
      <c r="K50" s="44">
        <f>$G4*Assumptions!$D9*Assumptions!$I9</f>
        <v>28515.317631746595</v>
      </c>
      <c r="L50" s="44">
        <f>$G4*Assumptions!$D9*Assumptions!$I9</f>
        <v>28515.317631746595</v>
      </c>
      <c r="M50" s="44">
        <f>$G4*Assumptions!$D9*Assumptions!$I9</f>
        <v>28515.317631746595</v>
      </c>
      <c r="N50" s="44"/>
    </row>
    <row r="51" spans="2:14">
      <c r="B51" t="s">
        <v>62</v>
      </c>
      <c r="D51" s="44"/>
      <c r="E51" s="44"/>
      <c r="F51" s="44"/>
      <c r="G51" s="44"/>
      <c r="H51" s="44">
        <f>($G4*Assumptions!$D9*Assumptions!$H9)*(1+Assumptions!$C25)^Calculation!D2</f>
        <v>87342.417906039802</v>
      </c>
      <c r="I51" s="44">
        <f>($G4*Assumptions!$D9*Assumptions!$H9)*(1+Assumptions!$C25)^Calculation!E2</f>
        <v>89176.608682066624</v>
      </c>
      <c r="J51" s="44">
        <f>($G4*Assumptions!$D9*Assumptions!$H9)*(1+Assumptions!$C25)^Calculation!F2</f>
        <v>91049.317464390027</v>
      </c>
      <c r="K51" s="44">
        <f>($G4*Assumptions!$D9*Assumptions!$H9)*(1+Assumptions!$C25)^Calculation!G2</f>
        <v>92961.353131142198</v>
      </c>
      <c r="L51" s="44">
        <f>($G4*Assumptions!$D9*Assumptions!$H9)*(1+Assumptions!$C25)^Calculation!H2</f>
        <v>94913.541546896173</v>
      </c>
      <c r="M51" s="44">
        <f>($G4*Assumptions!$D9*Assumptions!$H9)*(1+Assumptions!$C25)^Calculation!I2</f>
        <v>96906.725919380988</v>
      </c>
      <c r="N51" s="44"/>
    </row>
    <row r="52" spans="2:14">
      <c r="B52" t="s">
        <v>66</v>
      </c>
      <c r="D52" s="44"/>
      <c r="E52" s="44"/>
      <c r="F52" s="44"/>
      <c r="G52" s="44"/>
      <c r="H52" s="44">
        <f>H50+H51</f>
        <v>115857.7355377864</v>
      </c>
      <c r="I52" s="44">
        <f t="shared" ref="I52:M52" si="10">I50+I51</f>
        <v>117691.92631381322</v>
      </c>
      <c r="J52" s="44">
        <f t="shared" si="10"/>
        <v>119564.63509613663</v>
      </c>
      <c r="K52" s="44">
        <f t="shared" si="10"/>
        <v>121476.6707628888</v>
      </c>
      <c r="L52" s="44">
        <f t="shared" si="10"/>
        <v>123428.85917864277</v>
      </c>
      <c r="M52" s="44">
        <f t="shared" si="10"/>
        <v>125422.04355112759</v>
      </c>
      <c r="N52" s="44"/>
    </row>
    <row r="53" spans="2:14">
      <c r="B53" s="11" t="s">
        <v>68</v>
      </c>
      <c r="D53" s="45">
        <f>D48</f>
        <v>93896.598249999981</v>
      </c>
      <c r="E53" s="45">
        <f>E48</f>
        <v>95390.676813249971</v>
      </c>
      <c r="F53" s="45">
        <f>F48</f>
        <v>96916.131026328207</v>
      </c>
      <c r="G53" s="45">
        <f>G49</f>
        <v>114061.27052698638</v>
      </c>
      <c r="H53" s="45">
        <f t="shared" ref="H53:M53" si="11">H52</f>
        <v>115857.7355377864</v>
      </c>
      <c r="I53" s="45">
        <f t="shared" si="11"/>
        <v>117691.92631381322</v>
      </c>
      <c r="J53" s="45">
        <f t="shared" si="11"/>
        <v>119564.63509613663</v>
      </c>
      <c r="K53" s="45">
        <f t="shared" si="11"/>
        <v>121476.6707628888</v>
      </c>
      <c r="L53" s="45">
        <f t="shared" si="11"/>
        <v>123428.85917864277</v>
      </c>
      <c r="M53" s="45">
        <f t="shared" si="11"/>
        <v>125422.04355112759</v>
      </c>
      <c r="N53" s="45">
        <f>N49</f>
        <v>154684.86957354628</v>
      </c>
    </row>
    <row r="54" spans="2:14"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2:14">
      <c r="B55" s="69" t="s">
        <v>21</v>
      </c>
      <c r="C55" s="14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2:14">
      <c r="B56" t="s">
        <v>69</v>
      </c>
      <c r="D56" s="44">
        <v>1</v>
      </c>
      <c r="E56" s="44">
        <v>2</v>
      </c>
      <c r="F56" s="44">
        <v>3</v>
      </c>
      <c r="G56" s="44">
        <v>4</v>
      </c>
      <c r="H56" s="44">
        <v>5</v>
      </c>
      <c r="I56" s="44">
        <v>6</v>
      </c>
      <c r="J56" s="44">
        <v>7</v>
      </c>
      <c r="K56" s="44">
        <v>8</v>
      </c>
      <c r="L56" s="44">
        <v>9</v>
      </c>
      <c r="M56" s="44">
        <v>10</v>
      </c>
      <c r="N56" s="44"/>
    </row>
    <row r="57" spans="2:14">
      <c r="B57" s="12" t="s">
        <v>70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2:14">
      <c r="B58" t="s">
        <v>9</v>
      </c>
      <c r="D58" s="44">
        <f>(Assumptions!$D10*Assumptions!$G10*Assumptions!$I10)</f>
        <v>0</v>
      </c>
      <c r="E58" s="44">
        <f>(Assumptions!$D10*Assumptions!$G10*Assumptions!$I10)</f>
        <v>0</v>
      </c>
      <c r="F58" s="44">
        <f>(Assumptions!$D10*Assumptions!$G10*Assumptions!$I10)</f>
        <v>0</v>
      </c>
      <c r="G58" s="44">
        <f>(Assumptions!$D10*Assumptions!$G10*Assumptions!$I10)</f>
        <v>0</v>
      </c>
      <c r="H58" s="44">
        <f>(Assumptions!$D10*Assumptions!$G10*Assumptions!$I10)</f>
        <v>0</v>
      </c>
      <c r="I58" s="44">
        <f>(Assumptions!$D10*Assumptions!$G10*Assumptions!$I10)</f>
        <v>0</v>
      </c>
      <c r="J58" s="44">
        <f>(Assumptions!$D10*Assumptions!$G10*Assumptions!$I10)</f>
        <v>0</v>
      </c>
      <c r="K58" s="44">
        <f>(Assumptions!$D10*Assumptions!$G10*Assumptions!$I10)</f>
        <v>0</v>
      </c>
      <c r="L58" s="44"/>
      <c r="M58" s="44"/>
      <c r="N58" s="44"/>
    </row>
    <row r="59" spans="2:14">
      <c r="B59" t="s">
        <v>71</v>
      </c>
      <c r="D59" s="44">
        <f>(Assumptions!$D10*Assumptions!$G10*Assumptions!$H10)*(1+Assumptions!$C25)^Calculation!D56</f>
        <v>128645.99999999999</v>
      </c>
      <c r="E59" s="44">
        <f>(Assumptions!$D10*Assumptions!$G10*Assumptions!$H10)*(1+Assumptions!$C25)^Calculation!E56</f>
        <v>131347.56599999996</v>
      </c>
      <c r="F59" s="44">
        <f>(Assumptions!$D10*Assumptions!$G10*Assumptions!$H10)*(1+Assumptions!$C25)^Calculation!F56</f>
        <v>134105.86488599997</v>
      </c>
      <c r="G59" s="44">
        <f>(Assumptions!$D10*Assumptions!$G10*Assumptions!$H10)*(1+Assumptions!$C25)^Calculation!G56</f>
        <v>136922.08804860592</v>
      </c>
      <c r="H59" s="44">
        <f>(Assumptions!$D10*Assumptions!$G10*Assumptions!$H10)*(1+Assumptions!$C25)^Calculation!H56</f>
        <v>139797.45189762663</v>
      </c>
      <c r="I59" s="44">
        <f>(Assumptions!$D10*Assumptions!$G10*Assumptions!$H10)*(1+Assumptions!$C25)^Calculation!I56</f>
        <v>142733.19838747679</v>
      </c>
      <c r="J59" s="44">
        <f>(Assumptions!$D10*Assumptions!$G10*Assumptions!$H10)*(1+Assumptions!$C25)^Calculation!J56</f>
        <v>145730.59555361379</v>
      </c>
      <c r="K59" s="44">
        <f>(Assumptions!$D10*Assumptions!$G10*Assumptions!$H10)*(1+Assumptions!$C25)^Calculation!K56</f>
        <v>148790.93806023966</v>
      </c>
      <c r="L59" s="44"/>
      <c r="M59" s="44"/>
      <c r="N59" s="44"/>
    </row>
    <row r="60" spans="2:14">
      <c r="B60" t="s">
        <v>66</v>
      </c>
      <c r="D60" s="44">
        <f>D58+D59</f>
        <v>128645.99999999999</v>
      </c>
      <c r="E60" s="44">
        <f t="shared" ref="E60:K60" si="12">E58+E59</f>
        <v>131347.56599999996</v>
      </c>
      <c r="F60" s="44">
        <f t="shared" si="12"/>
        <v>134105.86488599997</v>
      </c>
      <c r="G60" s="44">
        <f t="shared" si="12"/>
        <v>136922.08804860592</v>
      </c>
      <c r="H60" s="44">
        <f t="shared" si="12"/>
        <v>139797.45189762663</v>
      </c>
      <c r="I60" s="44">
        <f t="shared" si="12"/>
        <v>142733.19838747679</v>
      </c>
      <c r="J60" s="44">
        <f t="shared" si="12"/>
        <v>145730.59555361379</v>
      </c>
      <c r="K60" s="44">
        <f t="shared" si="12"/>
        <v>148790.93806023966</v>
      </c>
      <c r="L60" s="44"/>
      <c r="M60" s="44"/>
      <c r="N60" s="44"/>
    </row>
    <row r="61" spans="2:14">
      <c r="B61" s="12" t="s">
        <v>67</v>
      </c>
      <c r="D61" s="44"/>
      <c r="E61" s="44"/>
      <c r="F61" s="44"/>
      <c r="G61" s="44"/>
      <c r="H61" s="44"/>
      <c r="I61" s="44"/>
      <c r="J61" s="44"/>
      <c r="K61" s="44"/>
      <c r="L61" s="44">
        <f>(L4*Assumptions!D10)</f>
        <v>182301.21086497765</v>
      </c>
      <c r="M61" s="44"/>
      <c r="N61" s="44">
        <f>N4*Assumptions!D10</f>
        <v>198880.54659455951</v>
      </c>
    </row>
    <row r="62" spans="2:14">
      <c r="B62" t="s">
        <v>9</v>
      </c>
      <c r="D62" s="44"/>
      <c r="E62" s="44"/>
      <c r="F62" s="44"/>
      <c r="G62" s="44"/>
      <c r="H62" s="44"/>
      <c r="I62" s="44"/>
      <c r="J62" s="44"/>
      <c r="K62" s="44"/>
      <c r="L62" s="44"/>
      <c r="M62" s="44">
        <f>(L4*Assumptions!D10*Assumptions!I10)</f>
        <v>0</v>
      </c>
      <c r="N62" s="44"/>
    </row>
    <row r="63" spans="2:14">
      <c r="B63" t="s">
        <v>62</v>
      </c>
      <c r="D63" s="44"/>
      <c r="E63" s="44"/>
      <c r="F63" s="44"/>
      <c r="G63" s="44"/>
      <c r="H63" s="44"/>
      <c r="I63" s="44"/>
      <c r="J63" s="44"/>
      <c r="K63" s="44"/>
      <c r="L63" s="44"/>
      <c r="M63" s="44">
        <f>(L4*Assumptions!D10*Assumptions!H10)*(1+Assumptions!C25)^Calculation!D2</f>
        <v>186129.53629314216</v>
      </c>
      <c r="N63" s="44"/>
    </row>
    <row r="64" spans="2:14">
      <c r="B64" t="s">
        <v>66</v>
      </c>
      <c r="D64" s="44"/>
      <c r="E64" s="44"/>
      <c r="F64" s="44"/>
      <c r="G64" s="44"/>
      <c r="H64" s="44"/>
      <c r="I64" s="44"/>
      <c r="J64" s="44"/>
      <c r="K64" s="44"/>
      <c r="L64" s="44"/>
      <c r="M64" s="44">
        <f>M62+M63</f>
        <v>186129.53629314216</v>
      </c>
      <c r="N64" s="44"/>
    </row>
    <row r="65" spans="2:14">
      <c r="B65" s="12" t="s">
        <v>68</v>
      </c>
      <c r="D65" s="45">
        <f>D60</f>
        <v>128645.99999999999</v>
      </c>
      <c r="E65" s="45">
        <f t="shared" ref="E65:K65" si="13">E60</f>
        <v>131347.56599999996</v>
      </c>
      <c r="F65" s="45">
        <f t="shared" si="13"/>
        <v>134105.86488599997</v>
      </c>
      <c r="G65" s="45">
        <f t="shared" si="13"/>
        <v>136922.08804860592</v>
      </c>
      <c r="H65" s="45">
        <f t="shared" si="13"/>
        <v>139797.45189762663</v>
      </c>
      <c r="I65" s="45">
        <f t="shared" si="13"/>
        <v>142733.19838747679</v>
      </c>
      <c r="J65" s="45">
        <f t="shared" si="13"/>
        <v>145730.59555361379</v>
      </c>
      <c r="K65" s="45">
        <f t="shared" si="13"/>
        <v>148790.93806023966</v>
      </c>
      <c r="L65" s="45">
        <f>L61</f>
        <v>182301.21086497765</v>
      </c>
      <c r="M65" s="45">
        <f>M64</f>
        <v>186129.53629314216</v>
      </c>
      <c r="N65" s="45">
        <f>N61</f>
        <v>198880.54659455951</v>
      </c>
    </row>
    <row r="66" spans="2:14"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2:14">
      <c r="B67" s="15" t="s">
        <v>23</v>
      </c>
      <c r="C67" s="14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</row>
    <row r="68" spans="2:14">
      <c r="B68" t="s">
        <v>59</v>
      </c>
      <c r="D68" s="44">
        <v>3</v>
      </c>
      <c r="E68" s="44">
        <v>4</v>
      </c>
      <c r="F68" s="44">
        <v>5</v>
      </c>
      <c r="G68" s="44">
        <v>6</v>
      </c>
      <c r="H68" s="44">
        <v>7</v>
      </c>
      <c r="I68" s="44">
        <v>8</v>
      </c>
      <c r="J68" s="44">
        <v>9</v>
      </c>
      <c r="K68" s="44">
        <v>10</v>
      </c>
      <c r="L68" s="44">
        <v>11</v>
      </c>
      <c r="M68" s="44">
        <v>12</v>
      </c>
      <c r="N68" s="44"/>
    </row>
    <row r="69" spans="2:14">
      <c r="B69" s="12" t="s">
        <v>60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2:14">
      <c r="B70" t="s">
        <v>61</v>
      </c>
      <c r="D70" s="44">
        <f>Assumptions!$D11*Assumptions!$G11*Assumptions!$I11</f>
        <v>0</v>
      </c>
      <c r="E70" s="44">
        <f>Assumptions!$D11*Assumptions!$G11*Assumptions!$I11</f>
        <v>0</v>
      </c>
      <c r="F70" s="44">
        <f>Assumptions!$D11*Assumptions!$G11*Assumptions!$I11</f>
        <v>0</v>
      </c>
      <c r="G70" s="44">
        <f>Assumptions!$D11*Assumptions!$G11*Assumptions!$I11</f>
        <v>0</v>
      </c>
      <c r="H70" s="44">
        <f>Assumptions!$D11*Assumptions!$G11*Assumptions!$I11</f>
        <v>0</v>
      </c>
      <c r="I70" s="44">
        <f>Assumptions!$D11*Assumptions!$G11*Assumptions!$I11</f>
        <v>0</v>
      </c>
      <c r="J70" s="44"/>
      <c r="K70" s="44"/>
      <c r="L70" s="44"/>
      <c r="M70" s="44"/>
      <c r="N70" s="44"/>
    </row>
    <row r="71" spans="2:14">
      <c r="B71" t="s">
        <v>62</v>
      </c>
      <c r="D71" s="44">
        <f>(Assumptions!$D11*Assumptions!$G11)*Assumptions!$H11*(1+Assumptions!$C25)^Calculation!D68</f>
        <v>77164.08892249997</v>
      </c>
      <c r="E71" s="44">
        <f>(Assumptions!$D11*Assumptions!$G11)*Assumptions!$H11*(1+Assumptions!$C25)^Calculation!E68</f>
        <v>78784.534789872458</v>
      </c>
      <c r="F71" s="44">
        <f>(Assumptions!$D11*Assumptions!$G11)*Assumptions!$H11*(1+Assumptions!$C25)^Calculation!F68</f>
        <v>80439.010020459769</v>
      </c>
      <c r="G71" s="44">
        <f>(Assumptions!$D11*Assumptions!$G11)*Assumptions!$H11*(1+Assumptions!$C25)^Calculation!G68</f>
        <v>82128.229230889425</v>
      </c>
      <c r="H71" s="44">
        <f>(Assumptions!$D11*Assumptions!$G11)*Assumptions!$H11*(1+Assumptions!$C25)^Calculation!H68</f>
        <v>83852.922044738094</v>
      </c>
      <c r="I71" s="44">
        <f>(Assumptions!$D11*Assumptions!$G11)*Assumptions!$H11*(1+Assumptions!$C25)^Calculation!I68</f>
        <v>85613.833407677579</v>
      </c>
      <c r="J71" s="44">
        <f>(Assumptions!$D11*Assumptions!$G11)*Assumptions!$H11*(1+Assumptions!$C25)^Calculation!J68</f>
        <v>87411.72390923879</v>
      </c>
      <c r="K71" s="44"/>
      <c r="L71" s="44"/>
      <c r="M71" s="44"/>
      <c r="N71" s="44"/>
    </row>
    <row r="72" spans="2:14">
      <c r="B72" t="s">
        <v>63</v>
      </c>
      <c r="D72" s="44">
        <f t="shared" ref="D72:J72" si="14">D70+D71</f>
        <v>77164.08892249997</v>
      </c>
      <c r="E72" s="44">
        <f t="shared" si="14"/>
        <v>78784.534789872458</v>
      </c>
      <c r="F72" s="44">
        <f t="shared" si="14"/>
        <v>80439.010020459769</v>
      </c>
      <c r="G72" s="44">
        <f t="shared" si="14"/>
        <v>82128.229230889425</v>
      </c>
      <c r="H72" s="44">
        <f t="shared" si="14"/>
        <v>83852.922044738094</v>
      </c>
      <c r="I72" s="44">
        <f t="shared" si="14"/>
        <v>85613.833407677579</v>
      </c>
      <c r="J72" s="44">
        <f t="shared" si="14"/>
        <v>87411.72390923879</v>
      </c>
      <c r="K72" s="44"/>
      <c r="L72" s="44"/>
      <c r="M72" s="44"/>
      <c r="N72" s="44"/>
    </row>
    <row r="73" spans="2:14">
      <c r="B73" s="12" t="s">
        <v>64</v>
      </c>
      <c r="D73" s="44"/>
      <c r="E73" s="44"/>
      <c r="F73" s="44"/>
      <c r="G73" s="44"/>
      <c r="H73" s="44"/>
      <c r="I73" s="44"/>
      <c r="J73" s="44"/>
      <c r="K73" s="44">
        <f>(Assumptions!$D11*K4)</f>
        <v>96965.149725312091</v>
      </c>
      <c r="L73" s="44"/>
      <c r="M73" s="44"/>
      <c r="N73" s="44">
        <f>N4*Assumptions!D11</f>
        <v>110489.19255253306</v>
      </c>
    </row>
    <row r="74" spans="2:14">
      <c r="B74" t="s">
        <v>61</v>
      </c>
      <c r="D74" s="44"/>
      <c r="E74" s="44"/>
      <c r="F74" s="44"/>
      <c r="G74" s="44"/>
      <c r="H74" s="44"/>
      <c r="I74" s="44"/>
      <c r="J74" s="44"/>
      <c r="K74" s="44"/>
      <c r="L74" s="44">
        <f>$K4*Assumptions!$D11*Assumptions!I11</f>
        <v>0</v>
      </c>
      <c r="M74" s="44">
        <f>$K4*Assumptions!$D11*Assumptions!J11</f>
        <v>0</v>
      </c>
      <c r="N74" s="44"/>
    </row>
    <row r="75" spans="2:14">
      <c r="B75" t="s">
        <v>62</v>
      </c>
      <c r="D75" s="44"/>
      <c r="E75" s="44"/>
      <c r="F75" s="44"/>
      <c r="G75" s="44"/>
      <c r="H75" s="44"/>
      <c r="I75" s="44"/>
      <c r="J75" s="44"/>
      <c r="K75" s="44"/>
      <c r="L75" s="44">
        <f>$K4*Assumptions!$D11*Assumptions!$H11*(1+Assumptions!$C25)^Calculation!D2</f>
        <v>99001.417869543642</v>
      </c>
      <c r="M75" s="44">
        <f>$K4*Assumptions!$D11*Assumptions!$H11*(1+Assumptions!$C25)^Calculation!E2</f>
        <v>101080.44764480404</v>
      </c>
      <c r="N75" s="44"/>
    </row>
    <row r="76" spans="2:14">
      <c r="B76" s="21" t="s">
        <v>63</v>
      </c>
      <c r="D76" s="44"/>
      <c r="E76" s="44"/>
      <c r="F76" s="44"/>
      <c r="G76" s="44"/>
      <c r="H76" s="44"/>
      <c r="I76" s="44"/>
      <c r="J76" s="44"/>
      <c r="K76" s="44"/>
      <c r="L76" s="44">
        <f>L74+L75</f>
        <v>99001.417869543642</v>
      </c>
      <c r="M76" s="44">
        <f>M74+M75</f>
        <v>101080.44764480404</v>
      </c>
      <c r="N76" s="44"/>
    </row>
    <row r="77" spans="2:14">
      <c r="B77" s="12" t="s">
        <v>68</v>
      </c>
      <c r="D77" s="45">
        <f>D72</f>
        <v>77164.08892249997</v>
      </c>
      <c r="E77" s="45">
        <f t="shared" ref="E77:J77" si="15">E72</f>
        <v>78784.534789872458</v>
      </c>
      <c r="F77" s="45">
        <f t="shared" si="15"/>
        <v>80439.010020459769</v>
      </c>
      <c r="G77" s="45">
        <f t="shared" si="15"/>
        <v>82128.229230889425</v>
      </c>
      <c r="H77" s="45">
        <f t="shared" si="15"/>
        <v>83852.922044738094</v>
      </c>
      <c r="I77" s="45">
        <f t="shared" si="15"/>
        <v>85613.833407677579</v>
      </c>
      <c r="J77" s="45">
        <f t="shared" si="15"/>
        <v>87411.72390923879</v>
      </c>
      <c r="K77" s="45">
        <f>K73</f>
        <v>96965.149725312091</v>
      </c>
      <c r="L77" s="45">
        <f>L76</f>
        <v>99001.417869543642</v>
      </c>
      <c r="M77" s="45">
        <f>M76</f>
        <v>101080.44764480404</v>
      </c>
      <c r="N77" s="45">
        <f>N73</f>
        <v>110489.19255253306</v>
      </c>
    </row>
    <row r="78" spans="2:14"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2:14">
      <c r="B79" s="15" t="s">
        <v>24</v>
      </c>
      <c r="C79" s="14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</row>
    <row r="80" spans="2:14">
      <c r="B80" t="s">
        <v>59</v>
      </c>
      <c r="D80" s="44">
        <v>2</v>
      </c>
      <c r="E80" s="44">
        <v>3</v>
      </c>
      <c r="F80" s="44">
        <v>4</v>
      </c>
      <c r="G80" s="44">
        <v>5</v>
      </c>
      <c r="H80" s="44">
        <v>6</v>
      </c>
      <c r="I80" s="44">
        <v>7</v>
      </c>
      <c r="J80" s="44">
        <v>8</v>
      </c>
      <c r="K80" s="44">
        <v>9</v>
      </c>
      <c r="L80" s="44">
        <v>10</v>
      </c>
      <c r="M80" s="44">
        <v>11</v>
      </c>
      <c r="N80" s="44"/>
    </row>
    <row r="81" spans="2:14">
      <c r="B81" s="12" t="s">
        <v>60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</row>
    <row r="82" spans="2:14">
      <c r="B82" t="s">
        <v>61</v>
      </c>
      <c r="D82" s="44">
        <f>(Assumptions!$D12*Assumptions!$G12)*Assumptions!$I12</f>
        <v>30250</v>
      </c>
      <c r="E82" s="44">
        <f>(Assumptions!$D12*Assumptions!$G12)*Assumptions!$I12</f>
        <v>30250</v>
      </c>
      <c r="F82" s="44">
        <f>(Assumptions!$D12*Assumptions!$G12)*Assumptions!$I12</f>
        <v>30250</v>
      </c>
      <c r="G82" s="44">
        <f>(Assumptions!$D12*Assumptions!$G12)*Assumptions!$I12</f>
        <v>30250</v>
      </c>
      <c r="H82" s="44"/>
      <c r="I82" s="44"/>
      <c r="J82" s="44"/>
      <c r="K82" s="44"/>
      <c r="L82" s="44"/>
      <c r="M82" s="44"/>
      <c r="N82" s="44"/>
    </row>
    <row r="83" spans="2:14">
      <c r="B83" t="s">
        <v>62</v>
      </c>
      <c r="D83" s="44">
        <f>(Assumptions!D12*Assumptions!G12)*Assumptions!H12*(1+Assumptions!C25)^Calculation!D80</f>
        <v>94601.520749999981</v>
      </c>
      <c r="E83" s="44">
        <f>(Assumptions!$D12*Assumptions!$G12)*Assumptions!$H12*(1+Assumptions!$C25)^Calculation!E80</f>
        <v>96588.15268574997</v>
      </c>
      <c r="F83" s="44">
        <f>(Assumptions!$D12*Assumptions!$G12)*Assumptions!$H12*(1+Assumptions!$C25)^Calculation!F80</f>
        <v>98616.503892150708</v>
      </c>
      <c r="G83" s="44">
        <f>(Assumptions!$D12*Assumptions!$G12)*Assumptions!$H12*(1+Assumptions!$C25)^Calculation!G80</f>
        <v>100687.45047388585</v>
      </c>
      <c r="H83" s="44"/>
      <c r="I83" s="44"/>
      <c r="J83" s="44"/>
      <c r="K83" s="44"/>
      <c r="L83" s="44"/>
      <c r="M83" s="44"/>
      <c r="N83" s="44"/>
    </row>
    <row r="84" spans="2:14">
      <c r="B84" t="s">
        <v>63</v>
      </c>
      <c r="D84" s="44">
        <f>D83+D82</f>
        <v>124851.52074999998</v>
      </c>
      <c r="E84" s="44">
        <f>E83+E82</f>
        <v>126838.15268574997</v>
      </c>
      <c r="F84" s="44">
        <f>F83+F82</f>
        <v>128866.50389215071</v>
      </c>
      <c r="G84" s="44">
        <f>G83+G82</f>
        <v>130937.45047388585</v>
      </c>
      <c r="H84" s="44"/>
      <c r="I84" s="44"/>
      <c r="J84" s="44"/>
      <c r="K84" s="44"/>
      <c r="L84" s="44"/>
      <c r="M84" s="44"/>
      <c r="N84" s="44"/>
    </row>
    <row r="85" spans="2:14">
      <c r="B85" s="12" t="s">
        <v>64</v>
      </c>
      <c r="D85" s="44"/>
      <c r="E85" s="44"/>
      <c r="F85" s="44"/>
      <c r="G85" s="44"/>
      <c r="H85" s="44">
        <f>(H4*Assumptions!$D12)</f>
        <v>187212.23403746015</v>
      </c>
      <c r="I85" s="44"/>
      <c r="J85" s="44"/>
      <c r="K85" s="44"/>
      <c r="L85" s="44"/>
      <c r="M85" s="44"/>
      <c r="N85" s="44">
        <f>N4*Assumptions!D12</f>
        <v>243076.22361557273</v>
      </c>
    </row>
    <row r="86" spans="2:14">
      <c r="B86" t="s">
        <v>9</v>
      </c>
      <c r="D86" s="44"/>
      <c r="E86" s="44"/>
      <c r="F86" s="44"/>
      <c r="G86" s="44"/>
      <c r="H86" s="44"/>
      <c r="I86" s="44">
        <f>($H4*Assumptions!$D12*Assumptions!$I12)</f>
        <v>46803.058509365037</v>
      </c>
      <c r="J86" s="44">
        <f>($H4*Assumptions!$D12*Assumptions!$I12)</f>
        <v>46803.058509365037</v>
      </c>
      <c r="K86" s="44">
        <f>($H4*Assumptions!$D12*Assumptions!$I12)</f>
        <v>46803.058509365037</v>
      </c>
      <c r="L86" s="44">
        <f>($H4*Assumptions!$D12*Assumptions!$I12)</f>
        <v>46803.058509365037</v>
      </c>
      <c r="M86" s="44">
        <f>($H4*Assumptions!$D12*Assumptions!$I12)</f>
        <v>46803.058509365037</v>
      </c>
      <c r="N86" s="44"/>
    </row>
    <row r="87" spans="2:14">
      <c r="B87" t="s">
        <v>62</v>
      </c>
      <c r="D87" s="44"/>
      <c r="E87" s="44"/>
      <c r="F87" s="44"/>
      <c r="G87" s="44"/>
      <c r="H87" s="44"/>
      <c r="I87" s="44">
        <f>($H4*Assumptions!$D12*Assumptions!$H12)*(1+Assumptions!$C25)^D2</f>
        <v>143357.76821418508</v>
      </c>
      <c r="J87" s="44">
        <f>($H4*Assumptions!$D12*Assumptions!$H12)*(1+Assumptions!$C25)^E2</f>
        <v>146368.28134668295</v>
      </c>
      <c r="K87" s="44">
        <f>($H4*Assumptions!$D12*Assumptions!$H12)*(1+Assumptions!$C25)^F2</f>
        <v>149442.01525496328</v>
      </c>
      <c r="L87" s="44">
        <f>($H4*Assumptions!$D12*Assumptions!$H12)*(1+Assumptions!$C25)^G2</f>
        <v>152580.2975753175</v>
      </c>
      <c r="M87" s="44">
        <f>($H4*Assumptions!$D12*Assumptions!$H12)*(1+Assumptions!$C25)^H2</f>
        <v>155784.48382439913</v>
      </c>
      <c r="N87" s="44"/>
    </row>
    <row r="88" spans="2:14">
      <c r="B88" t="s">
        <v>63</v>
      </c>
      <c r="D88" s="44"/>
      <c r="E88" s="44"/>
      <c r="F88" s="44"/>
      <c r="G88" s="44"/>
      <c r="H88" s="44"/>
      <c r="I88" s="44">
        <f>I86+I87</f>
        <v>190160.82672355013</v>
      </c>
      <c r="J88" s="44">
        <f t="shared" ref="J88:M88" si="16">J86+J87</f>
        <v>193171.339856048</v>
      </c>
      <c r="K88" s="44">
        <f t="shared" si="16"/>
        <v>196245.07376432832</v>
      </c>
      <c r="L88" s="44">
        <f t="shared" si="16"/>
        <v>199383.35608468254</v>
      </c>
      <c r="M88" s="44">
        <f t="shared" si="16"/>
        <v>202587.54233376417</v>
      </c>
      <c r="N88" s="44"/>
    </row>
    <row r="89" spans="2:14">
      <c r="B89" s="11" t="s">
        <v>65</v>
      </c>
      <c r="D89" s="45">
        <f>D84</f>
        <v>124851.52074999998</v>
      </c>
      <c r="E89" s="45">
        <f>E84</f>
        <v>126838.15268574997</v>
      </c>
      <c r="F89" s="45">
        <f>F84</f>
        <v>128866.50389215071</v>
      </c>
      <c r="G89" s="45">
        <f>G84</f>
        <v>130937.45047388585</v>
      </c>
      <c r="H89" s="45">
        <f>H85</f>
        <v>187212.23403746015</v>
      </c>
      <c r="I89" s="45">
        <f>I86+I87</f>
        <v>190160.82672355013</v>
      </c>
      <c r="J89" s="45">
        <f>J86+J87</f>
        <v>193171.339856048</v>
      </c>
      <c r="K89" s="45">
        <f>K86+K87</f>
        <v>196245.07376432832</v>
      </c>
      <c r="L89" s="45">
        <f>L86+L87</f>
        <v>199383.35608468254</v>
      </c>
      <c r="M89" s="45">
        <f>M86+M87</f>
        <v>202587.54233376417</v>
      </c>
      <c r="N89" s="45">
        <f>N85</f>
        <v>243076.22361557273</v>
      </c>
    </row>
    <row r="90" spans="2:14"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</row>
    <row r="91" spans="2:14">
      <c r="B91" s="13" t="s">
        <v>72</v>
      </c>
      <c r="C91" s="18"/>
      <c r="D91" s="52">
        <f>D17+D29+D41+D53+D65+D77+D89</f>
        <v>1065437.3566453166</v>
      </c>
      <c r="E91" s="52">
        <f t="shared" ref="E91:N91" si="17">E17+E29+E41+E53+E65+E77+E89</f>
        <v>1068762.4175203375</v>
      </c>
      <c r="F91" s="52">
        <f t="shared" si="17"/>
        <v>1089746.8441396966</v>
      </c>
      <c r="G91" s="52">
        <f t="shared" si="17"/>
        <v>1126436.0658108555</v>
      </c>
      <c r="H91" s="52">
        <f t="shared" si="17"/>
        <v>1204066.4982303723</v>
      </c>
      <c r="I91" s="52">
        <f t="shared" si="17"/>
        <v>1227100.095989367</v>
      </c>
      <c r="J91" s="52">
        <f t="shared" si="17"/>
        <v>1250617.3993013008</v>
      </c>
      <c r="K91" s="52">
        <f t="shared" si="17"/>
        <v>1282346.345596764</v>
      </c>
      <c r="L91" s="52">
        <f t="shared" si="17"/>
        <v>1337409.4832559256</v>
      </c>
      <c r="M91" s="52">
        <f t="shared" si="17"/>
        <v>1363243.2837004571</v>
      </c>
      <c r="N91" s="52">
        <f t="shared" si="17"/>
        <v>1626200.024932282</v>
      </c>
    </row>
    <row r="95" spans="2:14">
      <c r="B95" s="17" t="s">
        <v>73</v>
      </c>
    </row>
    <row r="96" spans="2:14">
      <c r="D96">
        <f t="shared" ref="D96:N96" si="18">D2</f>
        <v>1</v>
      </c>
      <c r="E96">
        <f t="shared" si="18"/>
        <v>2</v>
      </c>
      <c r="F96">
        <f t="shared" si="18"/>
        <v>3</v>
      </c>
      <c r="G96">
        <f t="shared" si="18"/>
        <v>4</v>
      </c>
      <c r="H96">
        <f t="shared" si="18"/>
        <v>5</v>
      </c>
      <c r="I96">
        <f t="shared" si="18"/>
        <v>6</v>
      </c>
      <c r="J96">
        <f t="shared" si="18"/>
        <v>7</v>
      </c>
      <c r="K96">
        <f t="shared" si="18"/>
        <v>8</v>
      </c>
      <c r="L96">
        <f t="shared" si="18"/>
        <v>9</v>
      </c>
      <c r="M96">
        <f t="shared" si="18"/>
        <v>10</v>
      </c>
      <c r="N96">
        <f t="shared" si="18"/>
        <v>11</v>
      </c>
    </row>
    <row r="97" spans="2:14">
      <c r="C97">
        <f t="shared" ref="C97:N97" si="19">C1</f>
        <v>2023</v>
      </c>
      <c r="D97">
        <f t="shared" si="19"/>
        <v>2024</v>
      </c>
      <c r="E97">
        <f t="shared" si="19"/>
        <v>2025</v>
      </c>
      <c r="F97">
        <f t="shared" si="19"/>
        <v>2026</v>
      </c>
      <c r="G97">
        <f t="shared" si="19"/>
        <v>2027</v>
      </c>
      <c r="H97">
        <f t="shared" si="19"/>
        <v>2028</v>
      </c>
      <c r="I97">
        <f t="shared" si="19"/>
        <v>2029</v>
      </c>
      <c r="J97">
        <f t="shared" si="19"/>
        <v>2030</v>
      </c>
      <c r="K97">
        <f t="shared" si="19"/>
        <v>2031</v>
      </c>
      <c r="L97">
        <f t="shared" si="19"/>
        <v>2032</v>
      </c>
      <c r="M97">
        <f t="shared" si="19"/>
        <v>2033</v>
      </c>
      <c r="N97">
        <f t="shared" si="19"/>
        <v>2034</v>
      </c>
    </row>
    <row r="98" spans="2:14">
      <c r="B98" s="11" t="s">
        <v>74</v>
      </c>
    </row>
    <row r="99" spans="2:14">
      <c r="B99" t="s">
        <v>75</v>
      </c>
    </row>
    <row r="100" spans="2:14">
      <c r="B100" t="s">
        <v>14</v>
      </c>
    </row>
    <row r="101" spans="2:14">
      <c r="B101" t="s">
        <v>16</v>
      </c>
    </row>
    <row r="102" spans="2:14">
      <c r="B102" t="s">
        <v>18</v>
      </c>
    </row>
    <row r="103" spans="2:14">
      <c r="B103" t="s">
        <v>21</v>
      </c>
    </row>
    <row r="104" spans="2:14">
      <c r="B104" t="s">
        <v>23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2:14">
      <c r="B105" t="s">
        <v>76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  <row r="106" spans="2:14">
      <c r="B106" s="11" t="s">
        <v>77</v>
      </c>
      <c r="C106" s="44"/>
      <c r="D106" s="45">
        <f t="shared" ref="D106:N106" si="20">D91</f>
        <v>1065437.3566453166</v>
      </c>
      <c r="E106" s="45">
        <f t="shared" si="20"/>
        <v>1068762.4175203375</v>
      </c>
      <c r="F106" s="45">
        <f t="shared" si="20"/>
        <v>1089746.8441396966</v>
      </c>
      <c r="G106" s="45">
        <f t="shared" si="20"/>
        <v>1126436.0658108555</v>
      </c>
      <c r="H106" s="45">
        <f t="shared" si="20"/>
        <v>1204066.4982303723</v>
      </c>
      <c r="I106" s="45">
        <f t="shared" si="20"/>
        <v>1227100.095989367</v>
      </c>
      <c r="J106" s="45">
        <f t="shared" si="20"/>
        <v>1250617.3993013008</v>
      </c>
      <c r="K106" s="45">
        <f t="shared" si="20"/>
        <v>1282346.345596764</v>
      </c>
      <c r="L106" s="45">
        <f t="shared" si="20"/>
        <v>1337409.4832559256</v>
      </c>
      <c r="M106" s="45">
        <f t="shared" si="20"/>
        <v>1363243.2837004571</v>
      </c>
      <c r="N106" s="45">
        <f t="shared" si="20"/>
        <v>1626200.024932282</v>
      </c>
    </row>
    <row r="107" spans="2:14">
      <c r="B107" t="s">
        <v>78</v>
      </c>
      <c r="C107" s="44"/>
      <c r="D107" s="44">
        <f>D106*Assumptions!$C17</f>
        <v>53271.867832265831</v>
      </c>
      <c r="E107" s="44">
        <f>E106*Assumptions!$C17</f>
        <v>53438.120876016881</v>
      </c>
      <c r="F107" s="44">
        <f>F106*Assumptions!$C17</f>
        <v>54487.342206984831</v>
      </c>
      <c r="G107" s="44">
        <f>G106*Assumptions!$C17</f>
        <v>56321.803290542775</v>
      </c>
      <c r="H107" s="44">
        <f>H106*Assumptions!$C17</f>
        <v>60203.324911518619</v>
      </c>
      <c r="I107" s="44">
        <f>I106*Assumptions!$C17</f>
        <v>61355.004799468355</v>
      </c>
      <c r="J107" s="44">
        <f>J106*Assumptions!$C17</f>
        <v>62530.869965065038</v>
      </c>
      <c r="K107" s="44">
        <f>K106*Assumptions!$C17</f>
        <v>64117.3172798382</v>
      </c>
      <c r="L107" s="44">
        <f>L106*Assumptions!$C17</f>
        <v>66870.474162796279</v>
      </c>
      <c r="M107" s="44">
        <f>M106*Assumptions!$C17</f>
        <v>68162.164185022863</v>
      </c>
      <c r="N107" s="44">
        <f>N106*Assumptions!$C17</f>
        <v>81310.001246614105</v>
      </c>
    </row>
    <row r="108" spans="2:14">
      <c r="B108" s="11" t="s">
        <v>79</v>
      </c>
      <c r="C108" s="44"/>
      <c r="D108" s="45">
        <f t="shared" ref="D108:N108" si="21">D106-D107</f>
        <v>1012165.4888130508</v>
      </c>
      <c r="E108" s="45">
        <f t="shared" si="21"/>
        <v>1015324.2966443206</v>
      </c>
      <c r="F108" s="45">
        <f t="shared" si="21"/>
        <v>1035259.5019327117</v>
      </c>
      <c r="G108" s="45">
        <f t="shared" si="21"/>
        <v>1070114.2625203128</v>
      </c>
      <c r="H108" s="45">
        <f t="shared" si="21"/>
        <v>1143863.1733188536</v>
      </c>
      <c r="I108" s="45">
        <f t="shared" si="21"/>
        <v>1165745.0911898986</v>
      </c>
      <c r="J108" s="45">
        <f t="shared" si="21"/>
        <v>1188086.5293362357</v>
      </c>
      <c r="K108" s="45">
        <f t="shared" si="21"/>
        <v>1218229.0283169257</v>
      </c>
      <c r="L108" s="45">
        <f t="shared" si="21"/>
        <v>1270539.0090931293</v>
      </c>
      <c r="M108" s="45">
        <f t="shared" si="21"/>
        <v>1295081.1195154341</v>
      </c>
      <c r="N108" s="45">
        <f t="shared" si="21"/>
        <v>1544890.0236856679</v>
      </c>
    </row>
    <row r="109" spans="2:14">
      <c r="B109" t="s">
        <v>80</v>
      </c>
      <c r="C109" s="44"/>
      <c r="D109" s="44">
        <f>Assumptions!C24*SUM(Assumptions!D6:D12)</f>
        <v>225000</v>
      </c>
      <c r="E109" s="44">
        <f>Assumptions!C24*(1-Assumptions!C26)*Assumptions!D13</f>
        <v>220500</v>
      </c>
      <c r="F109" s="44">
        <f>E109*(1-Assumptions!C27)</f>
        <v>213885</v>
      </c>
      <c r="G109" s="44">
        <f>F109*(1+Assumptions!$C25)</f>
        <v>218376.58499999999</v>
      </c>
      <c r="H109" s="44">
        <f>G109*(1+Assumptions!$C25)</f>
        <v>222962.49328499998</v>
      </c>
      <c r="I109" s="44">
        <f>H109*(1+Assumptions!$C25)</f>
        <v>227644.70564398495</v>
      </c>
      <c r="J109" s="44">
        <f>I109*(1+Assumptions!$C25)</f>
        <v>232425.24446250862</v>
      </c>
      <c r="K109" s="44">
        <f>J109*(1+Assumptions!$C25)</f>
        <v>237306.17459622127</v>
      </c>
      <c r="L109" s="44">
        <f>K109*(1+Assumptions!$C25)</f>
        <v>242289.60426274189</v>
      </c>
      <c r="M109" s="44">
        <f>L109*(1+Assumptions!$C25)</f>
        <v>247377.68595225946</v>
      </c>
      <c r="N109" s="44">
        <f>M109*(1+Assumptions!$C25)</f>
        <v>252572.61735725688</v>
      </c>
    </row>
    <row r="110" spans="2:14">
      <c r="B110" t="s">
        <v>81</v>
      </c>
      <c r="C110" s="44"/>
      <c r="D110" s="44">
        <f>Assumptions!$C29*Assumptions!$D13*(1+Assumptions!$C25)^(D96)</f>
        <v>95718.749999999985</v>
      </c>
      <c r="E110" s="44">
        <f>Assumptions!$C29*Assumptions!$D13*(1+Assumptions!$C25)^(E96)</f>
        <v>97728.843749999971</v>
      </c>
      <c r="F110" s="44">
        <f>Assumptions!$C29*Assumptions!$D13*(1+Assumptions!$C25)^(F96)</f>
        <v>99781.149468749965</v>
      </c>
      <c r="G110" s="44">
        <f>Assumptions!$C29*Assumptions!$D13*(1+Assumptions!$C25)^(G96)</f>
        <v>101876.5536075937</v>
      </c>
      <c r="H110" s="44">
        <f>Assumptions!$C29*Assumptions!$D13*(1+Assumptions!$C25)^(H96)</f>
        <v>104015.96123335315</v>
      </c>
      <c r="I110" s="44">
        <f>Assumptions!$C29*Assumptions!$D13*(1+Assumptions!$C25)^(I96)</f>
        <v>106200.29641925356</v>
      </c>
      <c r="J110" s="44">
        <f>Assumptions!$C29*Assumptions!$D13*(1+Assumptions!$C25)^(J96)</f>
        <v>108430.50264405788</v>
      </c>
      <c r="K110" s="44">
        <f>Assumptions!$C29*Assumptions!$D13*(1+Assumptions!$C25)^(K96)</f>
        <v>110707.54319958307</v>
      </c>
      <c r="L110" s="44">
        <f>Assumptions!$C29*Assumptions!$D13*(1+Assumptions!$C25)^(L96)</f>
        <v>113032.40160677429</v>
      </c>
      <c r="M110" s="44">
        <f>Assumptions!$C29*Assumptions!$D13*(1+Assumptions!$C25)^(M96)</f>
        <v>115406.08204051654</v>
      </c>
      <c r="N110" s="44">
        <f>Assumptions!$C29*Assumptions!$D13*(1+Assumptions!$C25)^(N96)</f>
        <v>117829.60976336739</v>
      </c>
    </row>
    <row r="111" spans="2:14">
      <c r="B111" s="11" t="s">
        <v>82</v>
      </c>
      <c r="C111" s="45"/>
      <c r="D111" s="45">
        <f>D108-D109-D110</f>
        <v>691446.73881305079</v>
      </c>
      <c r="E111" s="45">
        <f t="shared" ref="E111:N111" si="22">E108-E109-E110</f>
        <v>697095.4528943206</v>
      </c>
      <c r="F111" s="45">
        <f t="shared" si="22"/>
        <v>721593.3524639617</v>
      </c>
      <c r="G111" s="45">
        <f t="shared" si="22"/>
        <v>749861.12391271908</v>
      </c>
      <c r="H111" s="45">
        <f t="shared" si="22"/>
        <v>816884.7188005005</v>
      </c>
      <c r="I111" s="45">
        <f t="shared" si="22"/>
        <v>831900.08912666002</v>
      </c>
      <c r="J111" s="45">
        <f t="shared" si="22"/>
        <v>847230.78222966928</v>
      </c>
      <c r="K111" s="45">
        <f t="shared" si="22"/>
        <v>870215.31052112137</v>
      </c>
      <c r="L111" s="45">
        <f t="shared" si="22"/>
        <v>915217.00322361314</v>
      </c>
      <c r="M111" s="45">
        <f t="shared" si="22"/>
        <v>932297.35152265814</v>
      </c>
      <c r="N111" s="45">
        <f t="shared" si="22"/>
        <v>1174487.7965650437</v>
      </c>
    </row>
    <row r="112" spans="2:14">
      <c r="B112" t="s">
        <v>83</v>
      </c>
      <c r="C112" s="44"/>
      <c r="D112" s="44">
        <f>IF(D97=Assumptions!$B20,Assumptions!$D20*(1+Assumptions!$C25)^Calculation!D96,0)</f>
        <v>296090</v>
      </c>
      <c r="E112" s="44">
        <f>IF(E97=Assumptions!$B20,Assumptions!$D20*(1+Assumptions!$C25)^Calculation!E96,0)</f>
        <v>0</v>
      </c>
      <c r="F112" s="44">
        <f>IF(F97=Assumptions!$B20,Assumptions!$D20*(1+Assumptions!$C25)^Calculation!F96,0)</f>
        <v>0</v>
      </c>
      <c r="G112" s="44">
        <f>IF(G97=Assumptions!$B20,Assumptions!$D20*(1+Assumptions!$C25)^Calculation!G96,0)</f>
        <v>0</v>
      </c>
      <c r="H112" s="44">
        <f>IF(H97=Assumptions!$B20,Assumptions!$D20*(1+Assumptions!$C25)^Calculation!H96,0)</f>
        <v>0</v>
      </c>
      <c r="I112" s="44">
        <f>IF(I97=Assumptions!$B20,Assumptions!$D20*(1+Assumptions!$C25)^Calculation!I96,0)</f>
        <v>0</v>
      </c>
      <c r="J112" s="44">
        <f>IF(J97=Assumptions!$B20,Assumptions!$D20*(1+Assumptions!$C25)^Calculation!J96,0)</f>
        <v>0</v>
      </c>
      <c r="K112" s="44">
        <f>IF(K97=Assumptions!$B20,Assumptions!$D20*(1+Assumptions!$C25)^Calculation!K96,0)</f>
        <v>0</v>
      </c>
      <c r="L112" s="44">
        <f>IF(L97=Assumptions!$B20,Assumptions!$D20*(1+Assumptions!$C25)^Calculation!L96,0)</f>
        <v>0</v>
      </c>
      <c r="M112" s="44">
        <f>IF(M97=Assumptions!$B20,Assumptions!$D20*(1+Assumptions!$C25)^Calculation!M96,0)</f>
        <v>0</v>
      </c>
      <c r="N112" s="44"/>
    </row>
    <row r="113" spans="2:14">
      <c r="B113" t="s">
        <v>84</v>
      </c>
      <c r="C113" s="44"/>
      <c r="D113" s="44">
        <f>IF(D97=Assumptions!$B21,Assumptions!$D21*(1+Assumptions!$C25)^Calculation!D96,0)</f>
        <v>0</v>
      </c>
      <c r="E113" s="44">
        <f>IF(E97=Assumptions!$B21,Assumptions!$D21*(1+Assumptions!$C25)^Calculation!E96,0)</f>
        <v>166790.55999999997</v>
      </c>
      <c r="F113" s="44">
        <f>IF(F97=Assumptions!$B21,Assumptions!$D21*(1+Assumptions!$C25)^Calculation!F96,0)</f>
        <v>0</v>
      </c>
      <c r="G113" s="44">
        <f>IF(G97=Assumptions!$B21,Assumptions!$D21*(1+Assumptions!$C25)^Calculation!G96,0)</f>
        <v>0</v>
      </c>
      <c r="H113" s="44">
        <f>IF(H97=Assumptions!$B21,Assumptions!$D21*(1+Assumptions!$C25)^Calculation!H96,0)</f>
        <v>0</v>
      </c>
      <c r="I113" s="44">
        <f>IF(I97=Assumptions!$B21,Assumptions!$D21*(1+Assumptions!$C25)^Calculation!I96,0)</f>
        <v>0</v>
      </c>
      <c r="J113" s="44">
        <f>IF(J97=Assumptions!$B21,Assumptions!$D21*(1+Assumptions!$C25)^Calculation!J96,0)</f>
        <v>0</v>
      </c>
      <c r="K113" s="44">
        <f>IF(K97=Assumptions!$B21,Assumptions!$D21*(1+Assumptions!$C25)^Calculation!K96,0)</f>
        <v>0</v>
      </c>
      <c r="L113" s="44">
        <f>IF(L97=Assumptions!$B21,Assumptions!$D21*(1+Assumptions!$C25)^Calculation!L96,0)</f>
        <v>0</v>
      </c>
      <c r="M113" s="44">
        <f>IF(M97=Assumptions!$B21,Assumptions!$D21*(1+Assumptions!$C25)^Calculation!M96,0)</f>
        <v>0</v>
      </c>
      <c r="N113" s="44"/>
    </row>
    <row r="114" spans="2:14">
      <c r="B114" t="s">
        <v>85</v>
      </c>
      <c r="C114" s="44"/>
      <c r="D114" s="44">
        <f>IF(D97=Assumptions!$B22,Assumptions!$D22*(1+Assumptions!$C25)^Calculation!D96,0)</f>
        <v>0</v>
      </c>
      <c r="E114" s="44">
        <f>IF(E97=Assumptions!$B22,Assumptions!$D22*(1+Assumptions!$C25)^Calculation!E96,0)</f>
        <v>0</v>
      </c>
      <c r="F114" s="44">
        <f>IF(F97=Assumptions!$B22,Assumptions!$D22*(1+Assumptions!$C25)^Calculation!F96,0)</f>
        <v>0</v>
      </c>
      <c r="G114" s="44">
        <f>IF(G97=Assumptions!$B22,Assumptions!$D22*(1+Assumptions!$C25)^Calculation!G96,0)</f>
        <v>0</v>
      </c>
      <c r="H114" s="44">
        <f>IF(H97=Assumptions!$B22,Assumptions!$D22*(1+Assumptions!$C25)^Calculation!H96,0)</f>
        <v>0</v>
      </c>
      <c r="I114" s="44">
        <f>IF(I97=Assumptions!$B22,Assumptions!$D22*(1+Assumptions!$C25)^Calculation!I96,0)</f>
        <v>249216.69559718168</v>
      </c>
      <c r="J114" s="44">
        <f>IF(J97=Assumptions!$B22,Assumptions!$D22*(1+Assumptions!$C25)^Calculation!J96,0)</f>
        <v>0</v>
      </c>
      <c r="K114" s="44">
        <f>IF(K97=Assumptions!$B22,Assumptions!$D22*(1+Assumptions!$C25)^Calculation!K96,0)</f>
        <v>0</v>
      </c>
      <c r="L114" s="44">
        <f>IF(L97=Assumptions!$B22,Assumptions!$D22*(1+Assumptions!$C25)^Calculation!L96,0)</f>
        <v>0</v>
      </c>
      <c r="M114" s="44">
        <f>IF(M97=Assumptions!$B22,Assumptions!$D22*(1+Assumptions!$C25)^Calculation!M96,0)</f>
        <v>0</v>
      </c>
      <c r="N114" s="44"/>
    </row>
    <row r="115" spans="2:14">
      <c r="B115" s="11" t="s">
        <v>86</v>
      </c>
      <c r="C115" s="44"/>
      <c r="D115" s="45">
        <f t="shared" ref="D115:M115" si="23">SUM(D112:D114)</f>
        <v>296090</v>
      </c>
      <c r="E115" s="45">
        <f t="shared" si="23"/>
        <v>166790.55999999997</v>
      </c>
      <c r="F115" s="45">
        <f t="shared" si="23"/>
        <v>0</v>
      </c>
      <c r="G115" s="45">
        <f t="shared" si="23"/>
        <v>0</v>
      </c>
      <c r="H115" s="45">
        <f t="shared" si="23"/>
        <v>0</v>
      </c>
      <c r="I115" s="45">
        <f t="shared" si="23"/>
        <v>249216.69559718168</v>
      </c>
      <c r="J115" s="45">
        <f t="shared" si="23"/>
        <v>0</v>
      </c>
      <c r="K115" s="45">
        <f t="shared" si="23"/>
        <v>0</v>
      </c>
      <c r="L115" s="45">
        <f t="shared" si="23"/>
        <v>0</v>
      </c>
      <c r="M115" s="45">
        <f t="shared" si="23"/>
        <v>0</v>
      </c>
      <c r="N115" s="44"/>
    </row>
    <row r="116" spans="2:14">
      <c r="B116" t="s">
        <v>87</v>
      </c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>
        <f>N111/(Assumptions!M15-Assumptions!M21)</f>
        <v>17795269.644924905</v>
      </c>
      <c r="N116" s="44"/>
    </row>
    <row r="117" spans="2:14" ht="15.75" thickBot="1">
      <c r="B117" s="70" t="s">
        <v>88</v>
      </c>
      <c r="C117" s="48">
        <f>(-Assumptions!M7)</f>
        <v>-9700000</v>
      </c>
      <c r="D117" s="71">
        <f t="shared" ref="D117:L117" si="24">D111-D115</f>
        <v>395356.73881305079</v>
      </c>
      <c r="E117" s="71">
        <f t="shared" si="24"/>
        <v>530304.89289432066</v>
      </c>
      <c r="F117" s="71">
        <f t="shared" si="24"/>
        <v>721593.3524639617</v>
      </c>
      <c r="G117" s="71">
        <f t="shared" si="24"/>
        <v>749861.12391271908</v>
      </c>
      <c r="H117" s="71">
        <f t="shared" si="24"/>
        <v>816884.7188005005</v>
      </c>
      <c r="I117" s="71">
        <f t="shared" si="24"/>
        <v>582683.39352947834</v>
      </c>
      <c r="J117" s="71">
        <f t="shared" si="24"/>
        <v>847230.78222966928</v>
      </c>
      <c r="K117" s="71">
        <f t="shared" si="24"/>
        <v>870215.31052112137</v>
      </c>
      <c r="L117" s="71">
        <f t="shared" si="24"/>
        <v>915217.00322361314</v>
      </c>
      <c r="M117" s="71">
        <f>M111-M115+M116</f>
        <v>18727566.996447563</v>
      </c>
      <c r="N117" s="49"/>
    </row>
    <row r="118" spans="2:14"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</row>
    <row r="119" spans="2:14">
      <c r="B119" s="12" t="s">
        <v>89</v>
      </c>
      <c r="C119" s="44"/>
      <c r="D119" s="44">
        <f>(D117/(1+Assumptions!$M15)^D96)</f>
        <v>363379.35552670108</v>
      </c>
      <c r="E119" s="44">
        <f>(E117/(1+Assumptions!$M15)^E96)</f>
        <v>447989.50862206746</v>
      </c>
      <c r="F119" s="44">
        <f>(F117/(1+Assumptions!$M15)^F96)</f>
        <v>560280.92581670079</v>
      </c>
      <c r="G119" s="44">
        <f>(G117/(1+Assumptions!$M15)^G96)</f>
        <v>535137.34176665486</v>
      </c>
      <c r="H119" s="44">
        <f>(H117/(1+Assumptions!$M15)^H96)</f>
        <v>535816.76146071265</v>
      </c>
      <c r="I119" s="44">
        <f>(I117/(1+Assumptions!$M15)^I96)</f>
        <v>351284.72745611158</v>
      </c>
      <c r="J119" s="44">
        <f>(J117/(1+Assumptions!$M15)^J96)</f>
        <v>469460.93453931977</v>
      </c>
      <c r="K119" s="44">
        <f>(K117/(1+Assumptions!$M15)^K96)</f>
        <v>443195.71936647152</v>
      </c>
      <c r="L119" s="44">
        <f>(L117/(1+Assumptions!$M15)^L96)</f>
        <v>428414.36221053998</v>
      </c>
      <c r="M119" s="44">
        <f>(M117/(1+Assumptions!$M15)^M96)</f>
        <v>8057353.2760765105</v>
      </c>
      <c r="N119" s="44"/>
    </row>
    <row r="120" spans="2:14">
      <c r="B120" s="12" t="s">
        <v>52</v>
      </c>
      <c r="C120" s="45">
        <f>SUM(D119:M119)</f>
        <v>12192312.912841789</v>
      </c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</row>
    <row r="121" spans="2:14">
      <c r="B121" s="12" t="s">
        <v>53</v>
      </c>
      <c r="C121" s="45">
        <f>C120+C117</f>
        <v>2492312.9128417894</v>
      </c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</row>
    <row r="122" spans="2:14">
      <c r="B122" s="12" t="s">
        <v>90</v>
      </c>
      <c r="C122" s="20">
        <f>IRR(C117:M117)</f>
        <v>0.11883793592040459</v>
      </c>
    </row>
    <row r="125" spans="2:14">
      <c r="B125" s="12" t="s">
        <v>91</v>
      </c>
    </row>
    <row r="126" spans="2:14">
      <c r="B126" s="19" t="s">
        <v>92</v>
      </c>
    </row>
    <row r="127" spans="2:14">
      <c r="B127" t="s">
        <v>93</v>
      </c>
      <c r="C127" s="44">
        <f>Assumptions!M7*Assumptions!M6</f>
        <v>6790000</v>
      </c>
    </row>
    <row r="128" spans="2:14">
      <c r="B128" t="s">
        <v>94</v>
      </c>
      <c r="C128" s="44">
        <f>Calculation!C127/((1/Assumptions!M9)*(1-(1/(1+Assumptions!M9)^30)))</f>
        <v>525362.30652638339</v>
      </c>
    </row>
    <row r="130" spans="2:13">
      <c r="B130" s="10"/>
      <c r="C130" s="44"/>
      <c r="D130" s="44">
        <f t="shared" ref="D130:M130" si="25">D2</f>
        <v>1</v>
      </c>
      <c r="E130" s="44">
        <f t="shared" si="25"/>
        <v>2</v>
      </c>
      <c r="F130" s="44">
        <f t="shared" si="25"/>
        <v>3</v>
      </c>
      <c r="G130" s="44">
        <f t="shared" si="25"/>
        <v>4</v>
      </c>
      <c r="H130" s="44">
        <f t="shared" si="25"/>
        <v>5</v>
      </c>
      <c r="I130" s="44">
        <f t="shared" si="25"/>
        <v>6</v>
      </c>
      <c r="J130" s="44">
        <f t="shared" si="25"/>
        <v>7</v>
      </c>
      <c r="K130" s="44">
        <f t="shared" si="25"/>
        <v>8</v>
      </c>
      <c r="L130" s="44">
        <f t="shared" si="25"/>
        <v>9</v>
      </c>
      <c r="M130" s="44">
        <f t="shared" si="25"/>
        <v>10</v>
      </c>
    </row>
    <row r="131" spans="2:13">
      <c r="C131" s="44">
        <f t="shared" ref="C131:M131" si="26">C1</f>
        <v>2023</v>
      </c>
      <c r="D131" s="44">
        <f t="shared" si="26"/>
        <v>2024</v>
      </c>
      <c r="E131" s="44">
        <f t="shared" si="26"/>
        <v>2025</v>
      </c>
      <c r="F131" s="44">
        <f t="shared" si="26"/>
        <v>2026</v>
      </c>
      <c r="G131" s="44">
        <f t="shared" si="26"/>
        <v>2027</v>
      </c>
      <c r="H131" s="44">
        <f t="shared" si="26"/>
        <v>2028</v>
      </c>
      <c r="I131" s="44">
        <f t="shared" si="26"/>
        <v>2029</v>
      </c>
      <c r="J131" s="44">
        <f t="shared" si="26"/>
        <v>2030</v>
      </c>
      <c r="K131" s="44">
        <f t="shared" si="26"/>
        <v>2031</v>
      </c>
      <c r="L131" s="44">
        <f t="shared" si="26"/>
        <v>2032</v>
      </c>
      <c r="M131" s="44">
        <f t="shared" si="26"/>
        <v>2033</v>
      </c>
    </row>
    <row r="132" spans="2:13">
      <c r="B132" t="s">
        <v>95</v>
      </c>
      <c r="C132" s="44"/>
      <c r="D132" s="44">
        <f>C127</f>
        <v>6790000</v>
      </c>
      <c r="E132" s="44">
        <f t="shared" ref="E132:M132" si="27">D136</f>
        <v>6712777.6934736166</v>
      </c>
      <c r="F132" s="44">
        <f t="shared" si="27"/>
        <v>6630458.7147164922</v>
      </c>
      <c r="G132" s="44">
        <f t="shared" si="27"/>
        <v>6542706.6833613971</v>
      </c>
      <c r="H132" s="44">
        <f t="shared" si="27"/>
        <v>6449163.0179368658</v>
      </c>
      <c r="I132" s="44">
        <f t="shared" si="27"/>
        <v>6349445.4705943158</v>
      </c>
      <c r="J132" s="44">
        <f t="shared" si="27"/>
        <v>6243146.5651271576</v>
      </c>
      <c r="K132" s="44">
        <f t="shared" si="27"/>
        <v>6129831.9318991667</v>
      </c>
      <c r="L132" s="44">
        <f t="shared" si="27"/>
        <v>6009038.5328781279</v>
      </c>
      <c r="M132" s="44">
        <f t="shared" si="27"/>
        <v>5880272.7695217011</v>
      </c>
    </row>
    <row r="133" spans="2:13">
      <c r="B133" t="s">
        <v>96</v>
      </c>
      <c r="C133" s="44"/>
      <c r="D133" s="44">
        <f t="shared" ref="D133:M133" si="28">$C128</f>
        <v>525362.30652638339</v>
      </c>
      <c r="E133" s="44">
        <f t="shared" si="28"/>
        <v>525362.30652638339</v>
      </c>
      <c r="F133" s="44">
        <f t="shared" si="28"/>
        <v>525362.30652638339</v>
      </c>
      <c r="G133" s="44">
        <f t="shared" si="28"/>
        <v>525362.30652638339</v>
      </c>
      <c r="H133" s="44">
        <f t="shared" si="28"/>
        <v>525362.30652638339</v>
      </c>
      <c r="I133" s="44">
        <f t="shared" si="28"/>
        <v>525362.30652638339</v>
      </c>
      <c r="J133" s="44">
        <f t="shared" si="28"/>
        <v>525362.30652638339</v>
      </c>
      <c r="K133" s="44">
        <f t="shared" si="28"/>
        <v>525362.30652638339</v>
      </c>
      <c r="L133" s="44">
        <f t="shared" si="28"/>
        <v>525362.30652638339</v>
      </c>
      <c r="M133" s="44">
        <f t="shared" si="28"/>
        <v>525362.30652638339</v>
      </c>
    </row>
    <row r="134" spans="2:13">
      <c r="B134" t="s">
        <v>97</v>
      </c>
      <c r="C134" s="44"/>
      <c r="D134" s="44">
        <f>D132*Assumptions!$M9</f>
        <v>448140</v>
      </c>
      <c r="E134" s="44">
        <f>E132*Assumptions!$M9</f>
        <v>443043.3277692587</v>
      </c>
      <c r="F134" s="44">
        <f>F132*Assumptions!$M9</f>
        <v>437610.27517128852</v>
      </c>
      <c r="G134" s="44">
        <f>G132*Assumptions!$M9</f>
        <v>431818.64110185223</v>
      </c>
      <c r="H134" s="44">
        <f>H132*Assumptions!$M9</f>
        <v>425644.75918383314</v>
      </c>
      <c r="I134" s="44">
        <f>I132*Assumptions!$M9</f>
        <v>419063.40105922485</v>
      </c>
      <c r="J134" s="44">
        <f>J132*Assumptions!$M9</f>
        <v>412047.67329839244</v>
      </c>
      <c r="K134" s="44">
        <f>K132*Assumptions!$M9</f>
        <v>404568.90750534501</v>
      </c>
      <c r="L134" s="44">
        <f>L132*Assumptions!$M9</f>
        <v>396596.54316995648</v>
      </c>
      <c r="M134" s="44">
        <f>M132*Assumptions!$M9</f>
        <v>388098.00278843229</v>
      </c>
    </row>
    <row r="135" spans="2:13">
      <c r="B135" t="s">
        <v>98</v>
      </c>
      <c r="C135" s="44"/>
      <c r="D135" s="44">
        <f t="shared" ref="D135:M135" si="29">D133-D134</f>
        <v>77222.306526383385</v>
      </c>
      <c r="E135" s="44">
        <f t="shared" si="29"/>
        <v>82318.978757124685</v>
      </c>
      <c r="F135" s="44">
        <f t="shared" si="29"/>
        <v>87752.031355094863</v>
      </c>
      <c r="G135" s="44">
        <f t="shared" si="29"/>
        <v>93543.665424531151</v>
      </c>
      <c r="H135" s="44">
        <f t="shared" si="29"/>
        <v>99717.547342550242</v>
      </c>
      <c r="I135" s="44">
        <f t="shared" si="29"/>
        <v>106298.90546715853</v>
      </c>
      <c r="J135" s="44">
        <f t="shared" si="29"/>
        <v>113314.63322799094</v>
      </c>
      <c r="K135" s="44">
        <f t="shared" si="29"/>
        <v>120793.39902103838</v>
      </c>
      <c r="L135" s="44">
        <f t="shared" si="29"/>
        <v>128765.76335642691</v>
      </c>
      <c r="M135" s="44">
        <f t="shared" si="29"/>
        <v>137264.30373795109</v>
      </c>
    </row>
    <row r="136" spans="2:13">
      <c r="B136" t="s">
        <v>99</v>
      </c>
      <c r="C136" s="44"/>
      <c r="D136" s="44">
        <f t="shared" ref="D136:M136" si="30">D132-D135</f>
        <v>6712777.6934736166</v>
      </c>
      <c r="E136" s="44">
        <f t="shared" si="30"/>
        <v>6630458.7147164922</v>
      </c>
      <c r="F136" s="44">
        <f t="shared" si="30"/>
        <v>6542706.6833613971</v>
      </c>
      <c r="G136" s="44">
        <f t="shared" si="30"/>
        <v>6449163.0179368658</v>
      </c>
      <c r="H136" s="44">
        <f t="shared" si="30"/>
        <v>6349445.4705943158</v>
      </c>
      <c r="I136" s="44">
        <f t="shared" si="30"/>
        <v>6243146.5651271576</v>
      </c>
      <c r="J136" s="44">
        <f t="shared" si="30"/>
        <v>6129831.9318991667</v>
      </c>
      <c r="K136" s="44">
        <f t="shared" si="30"/>
        <v>6009038.5328781279</v>
      </c>
      <c r="L136" s="44">
        <f t="shared" si="30"/>
        <v>5880272.7695217011</v>
      </c>
      <c r="M136" s="45">
        <f t="shared" si="30"/>
        <v>5743008.4657837497</v>
      </c>
    </row>
    <row r="137" spans="2:13"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</row>
    <row r="138" spans="2:13"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</row>
    <row r="139" spans="2:13">
      <c r="B139" s="12" t="s">
        <v>100</v>
      </c>
      <c r="C139" s="45">
        <f>-Assumptions!M7*Assumptions!M8</f>
        <v>-2910000</v>
      </c>
      <c r="D139" s="45">
        <f t="shared" ref="D139:L139" si="31">D117</f>
        <v>395356.73881305079</v>
      </c>
      <c r="E139" s="45">
        <f t="shared" si="31"/>
        <v>530304.89289432066</v>
      </c>
      <c r="F139" s="45">
        <f t="shared" si="31"/>
        <v>721593.3524639617</v>
      </c>
      <c r="G139" s="45">
        <f t="shared" si="31"/>
        <v>749861.12391271908</v>
      </c>
      <c r="H139" s="45">
        <f t="shared" si="31"/>
        <v>816884.7188005005</v>
      </c>
      <c r="I139" s="45">
        <f t="shared" si="31"/>
        <v>582683.39352947834</v>
      </c>
      <c r="J139" s="45">
        <f t="shared" si="31"/>
        <v>847230.78222966928</v>
      </c>
      <c r="K139" s="45">
        <f t="shared" si="31"/>
        <v>870215.31052112137</v>
      </c>
      <c r="L139" s="45">
        <f t="shared" si="31"/>
        <v>915217.00322361314</v>
      </c>
      <c r="M139" s="45">
        <f>M117-M116</f>
        <v>932297.35152265802</v>
      </c>
    </row>
    <row r="140" spans="2:13">
      <c r="B140" t="s">
        <v>101</v>
      </c>
      <c r="C140" s="44"/>
      <c r="D140" s="44">
        <f t="shared" ref="D140:M140" si="32">D134</f>
        <v>448140</v>
      </c>
      <c r="E140" s="44">
        <f t="shared" si="32"/>
        <v>443043.3277692587</v>
      </c>
      <c r="F140" s="44">
        <f t="shared" si="32"/>
        <v>437610.27517128852</v>
      </c>
      <c r="G140" s="44">
        <f t="shared" si="32"/>
        <v>431818.64110185223</v>
      </c>
      <c r="H140" s="44">
        <f t="shared" si="32"/>
        <v>425644.75918383314</v>
      </c>
      <c r="I140" s="44">
        <f t="shared" si="32"/>
        <v>419063.40105922485</v>
      </c>
      <c r="J140" s="44">
        <f t="shared" si="32"/>
        <v>412047.67329839244</v>
      </c>
      <c r="K140" s="44">
        <f t="shared" si="32"/>
        <v>404568.90750534501</v>
      </c>
      <c r="L140" s="44">
        <f t="shared" si="32"/>
        <v>396596.54316995648</v>
      </c>
      <c r="M140" s="44">
        <f t="shared" si="32"/>
        <v>388098.00278843229</v>
      </c>
    </row>
    <row r="141" spans="2:13">
      <c r="B141" t="s">
        <v>102</v>
      </c>
      <c r="C141" s="44"/>
      <c r="D141" s="44">
        <f>D135</f>
        <v>77222.306526383385</v>
      </c>
      <c r="E141" s="44">
        <f t="shared" ref="E141:M141" si="33">E135</f>
        <v>82318.978757124685</v>
      </c>
      <c r="F141" s="44">
        <f t="shared" si="33"/>
        <v>87752.031355094863</v>
      </c>
      <c r="G141" s="44">
        <f t="shared" si="33"/>
        <v>93543.665424531151</v>
      </c>
      <c r="H141" s="44">
        <f t="shared" si="33"/>
        <v>99717.547342550242</v>
      </c>
      <c r="I141" s="44">
        <f t="shared" si="33"/>
        <v>106298.90546715853</v>
      </c>
      <c r="J141" s="44">
        <f t="shared" si="33"/>
        <v>113314.63322799094</v>
      </c>
      <c r="K141" s="44">
        <f t="shared" si="33"/>
        <v>120793.39902103838</v>
      </c>
      <c r="L141" s="44">
        <f t="shared" si="33"/>
        <v>128765.76335642691</v>
      </c>
      <c r="M141" s="44">
        <f t="shared" si="33"/>
        <v>137264.30373795109</v>
      </c>
    </row>
    <row r="142" spans="2:13">
      <c r="B142" t="s">
        <v>103</v>
      </c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>
        <f>M116-M136</f>
        <v>12052261.179141156</v>
      </c>
    </row>
    <row r="143" spans="2:13">
      <c r="B143" s="72" t="s">
        <v>104</v>
      </c>
      <c r="C143" s="47">
        <f>C139</f>
        <v>-2910000</v>
      </c>
      <c r="D143" s="47">
        <f>D139-D140-D141</f>
        <v>-130005.5677133326</v>
      </c>
      <c r="E143" s="47">
        <f>E139-E140-E141</f>
        <v>4942.5863679372706</v>
      </c>
      <c r="F143" s="47">
        <f>F139-F140-F141</f>
        <v>196231.04593757831</v>
      </c>
      <c r="G143" s="47">
        <f t="shared" ref="G143:L143" si="34">G139-G140-G141</f>
        <v>224498.81738633569</v>
      </c>
      <c r="H143" s="47">
        <f t="shared" si="34"/>
        <v>291522.41227411712</v>
      </c>
      <c r="I143" s="47">
        <f t="shared" si="34"/>
        <v>57321.087003094959</v>
      </c>
      <c r="J143" s="47">
        <f t="shared" si="34"/>
        <v>321868.47570328589</v>
      </c>
      <c r="K143" s="47">
        <f t="shared" si="34"/>
        <v>344853.00399473798</v>
      </c>
      <c r="L143" s="47">
        <f t="shared" si="34"/>
        <v>389854.69669722975</v>
      </c>
      <c r="M143" s="47">
        <f>M139-M140-M141+M142</f>
        <v>12459196.224137431</v>
      </c>
    </row>
    <row r="144" spans="2:13"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</row>
    <row r="145" spans="2:15">
      <c r="B145" s="12" t="s">
        <v>105</v>
      </c>
      <c r="C145" s="44"/>
      <c r="D145" s="44">
        <f>D143/(1+Assumptions!$M17)^Calculation!D130</f>
        <v>-117545.72125979439</v>
      </c>
      <c r="E145" s="44">
        <f>E143/(1+Assumptions!$M17)^Calculation!E130</f>
        <v>4040.582821252211</v>
      </c>
      <c r="F145" s="44">
        <f>F143/(1+Assumptions!$M17)^Calculation!F130</f>
        <v>145044.85820217218</v>
      </c>
      <c r="G145" s="44">
        <f>G143/(1+Assumptions!$M17)^Calculation!G130</f>
        <v>150035.33409671692</v>
      </c>
      <c r="H145" s="44">
        <f>H143/(1+Assumptions!$M17)^Calculation!H130</f>
        <v>176155.54327486639</v>
      </c>
      <c r="I145" s="44">
        <f>I143/(1+Assumptions!$M17)^Calculation!I130</f>
        <v>31317.252630607923</v>
      </c>
      <c r="J145" s="44">
        <f>J143/(1+Assumptions!$M17)^Calculation!J130</f>
        <v>158998.32695223307</v>
      </c>
      <c r="K145" s="44">
        <f>K143/(1+Assumptions!$M17)^Calculation!K130</f>
        <v>154025.63137381297</v>
      </c>
      <c r="L145" s="44">
        <f>L143/(1+Assumptions!$M17)^Calculation!L130</f>
        <v>157436.93560583139</v>
      </c>
      <c r="M145" s="44">
        <f>M143/(1+Assumptions!$M17)^Calculation!M130</f>
        <v>4549239.0252647176</v>
      </c>
    </row>
    <row r="146" spans="2:15">
      <c r="B146" s="12" t="s">
        <v>106</v>
      </c>
      <c r="C146" s="45">
        <f>SUM(D145:M145)</f>
        <v>5408747.7689624168</v>
      </c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O146" s="9"/>
    </row>
    <row r="147" spans="2:15">
      <c r="B147" s="11" t="s">
        <v>107</v>
      </c>
      <c r="C147" s="45">
        <f>C146+C143</f>
        <v>2498747.7689624168</v>
      </c>
      <c r="D147" s="44"/>
      <c r="E147" s="44"/>
      <c r="F147" s="44"/>
      <c r="G147" s="44"/>
      <c r="H147" s="44"/>
      <c r="I147" s="44"/>
      <c r="J147" s="44"/>
      <c r="K147" s="44"/>
      <c r="L147" s="44"/>
      <c r="M147" s="44"/>
    </row>
    <row r="148" spans="2:15">
      <c r="B148" s="11" t="s">
        <v>108</v>
      </c>
      <c r="C148" s="20">
        <f>IRR(C143:M143)</f>
        <v>0.18122672509278059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3CEB-664E-44CC-90EC-5A40CA193AF0}">
  <dimension ref="B1:I37"/>
  <sheetViews>
    <sheetView topLeftCell="A9" workbookViewId="0">
      <selection activeCell="G26" sqref="G26"/>
    </sheetView>
  </sheetViews>
  <sheetFormatPr defaultRowHeight="15"/>
  <cols>
    <col min="2" max="2" width="48" bestFit="1" customWidth="1"/>
    <col min="3" max="3" width="9.85546875" bestFit="1" customWidth="1"/>
    <col min="4" max="4" width="10" bestFit="1" customWidth="1"/>
    <col min="5" max="5" width="9.85546875" bestFit="1" customWidth="1"/>
    <col min="6" max="6" width="17.42578125" bestFit="1" customWidth="1"/>
    <col min="7" max="7" width="108.42578125" bestFit="1" customWidth="1"/>
  </cols>
  <sheetData>
    <row r="1" spans="2:5" ht="15.75" thickBot="1"/>
    <row r="2" spans="2:5">
      <c r="B2" s="32" t="s">
        <v>109</v>
      </c>
      <c r="C2" s="33" t="s">
        <v>110</v>
      </c>
      <c r="D2" s="33" t="s">
        <v>111</v>
      </c>
      <c r="E2" s="34" t="s">
        <v>112</v>
      </c>
    </row>
    <row r="3" spans="2:5">
      <c r="B3" s="35" t="s">
        <v>113</v>
      </c>
      <c r="C3" s="44">
        <f>Calculation!C120</f>
        <v>12192312.912841789</v>
      </c>
      <c r="D3" s="44">
        <f>C3/Assumptions!D13</f>
        <v>19507.700660546863</v>
      </c>
      <c r="E3" s="36"/>
    </row>
    <row r="4" spans="2:5">
      <c r="B4" s="35" t="s">
        <v>114</v>
      </c>
      <c r="C4" s="44">
        <f>Calculation!C121</f>
        <v>2492312.9128417894</v>
      </c>
      <c r="D4" s="44">
        <f>C4/Assumptions!D13</f>
        <v>3987.7006605468632</v>
      </c>
      <c r="E4" s="36"/>
    </row>
    <row r="5" spans="2:5">
      <c r="B5" s="35" t="s">
        <v>115</v>
      </c>
      <c r="C5" s="44">
        <f>Calculation!C147</f>
        <v>2498747.7689624168</v>
      </c>
      <c r="D5" s="44">
        <f>C5/Assumptions!D13</f>
        <v>3997.9964303398669</v>
      </c>
      <c r="E5" s="36"/>
    </row>
    <row r="6" spans="2:5">
      <c r="B6" s="35" t="s">
        <v>116</v>
      </c>
      <c r="E6" s="37">
        <f>Calculation!C122</f>
        <v>0.11883793592040459</v>
      </c>
    </row>
    <row r="7" spans="2:5" ht="15.75" thickBot="1">
      <c r="B7" s="38" t="s">
        <v>117</v>
      </c>
      <c r="C7" s="39"/>
      <c r="D7" s="39"/>
      <c r="E7" s="40">
        <f>Calculation!C148</f>
        <v>0.18122672509278059</v>
      </c>
    </row>
    <row r="9" spans="2:5">
      <c r="B9" s="46" t="s">
        <v>118</v>
      </c>
      <c r="C9" s="31"/>
      <c r="D9" s="31"/>
      <c r="E9" s="31"/>
    </row>
    <row r="10" spans="2:5">
      <c r="B10" s="53">
        <f>Assumptions!B41</f>
        <v>2492312.9128417894</v>
      </c>
      <c r="C10" s="22">
        <v>0.01</v>
      </c>
      <c r="D10" s="22">
        <v>2.1999999999999999E-2</v>
      </c>
      <c r="E10" s="22">
        <v>0.03</v>
      </c>
    </row>
    <row r="11" spans="2:5">
      <c r="B11" s="23">
        <v>0.06</v>
      </c>
      <c r="C11" s="55">
        <v>8654267.2853290513</v>
      </c>
      <c r="D11" s="55">
        <v>12796337.924186729</v>
      </c>
      <c r="E11" s="55">
        <v>17398638.634028599</v>
      </c>
    </row>
    <row r="12" spans="2:5">
      <c r="B12" s="22">
        <v>8.7999999999999995E-2</v>
      </c>
      <c r="C12" s="55">
        <v>1314429.6171435788</v>
      </c>
      <c r="D12" s="53">
        <v>2492312.9128417894</v>
      </c>
      <c r="E12" s="55">
        <v>3548346.2124332897</v>
      </c>
    </row>
    <row r="13" spans="2:5">
      <c r="B13" s="22">
        <v>0.11</v>
      </c>
      <c r="C13" s="55">
        <v>-1487357.47144535</v>
      </c>
      <c r="D13" s="55">
        <v>-923307.87263594195</v>
      </c>
      <c r="E13" s="55">
        <v>-453266.54029476829</v>
      </c>
    </row>
    <row r="15" spans="2:5">
      <c r="B15" s="46" t="s">
        <v>119</v>
      </c>
      <c r="C15" s="31"/>
      <c r="D15" s="31"/>
      <c r="E15" s="31"/>
    </row>
    <row r="16" spans="2:5">
      <c r="B16" s="53">
        <f>Assumptions!B41</f>
        <v>2492312.9128417894</v>
      </c>
      <c r="C16" s="22">
        <v>0.01</v>
      </c>
      <c r="D16" s="22">
        <v>0.02</v>
      </c>
      <c r="E16" s="22">
        <v>0.03</v>
      </c>
    </row>
    <row r="17" spans="2:9">
      <c r="B17" s="22">
        <v>0.02</v>
      </c>
      <c r="C17" s="55">
        <v>2434301.48539171</v>
      </c>
      <c r="D17" s="55">
        <v>2464257.5735220276</v>
      </c>
      <c r="E17" s="55">
        <v>2494213.6616523452</v>
      </c>
    </row>
    <row r="18" spans="2:9">
      <c r="B18" s="22">
        <v>0.03</v>
      </c>
      <c r="C18" s="55">
        <v>2462643.1036841236</v>
      </c>
      <c r="D18" s="53">
        <v>2492312.9128417894</v>
      </c>
      <c r="E18" s="55">
        <v>2521982.721999459</v>
      </c>
    </row>
    <row r="19" spans="2:9">
      <c r="B19" s="22">
        <v>0.04</v>
      </c>
      <c r="C19" s="55">
        <v>2490984.7219765373</v>
      </c>
      <c r="D19" s="55">
        <v>2520368.252161555</v>
      </c>
      <c r="E19" s="55">
        <v>2549751.7823465709</v>
      </c>
    </row>
    <row r="21" spans="2:9">
      <c r="B21" s="46" t="s">
        <v>120</v>
      </c>
      <c r="C21" s="31"/>
      <c r="D21" s="31"/>
      <c r="E21" s="31"/>
    </row>
    <row r="22" spans="2:9">
      <c r="B22" s="53">
        <f>Assumptions!B41</f>
        <v>2492312.9128417894</v>
      </c>
      <c r="C22" s="54">
        <v>1300</v>
      </c>
      <c r="D22" s="54">
        <v>1430</v>
      </c>
      <c r="E22" s="54">
        <v>1700</v>
      </c>
    </row>
    <row r="23" spans="2:9">
      <c r="B23" s="54">
        <v>1700</v>
      </c>
      <c r="C23" s="55">
        <v>853839.56105573848</v>
      </c>
      <c r="D23" s="55">
        <v>1372659.9793069884</v>
      </c>
      <c r="E23" s="55">
        <v>2450210.0787518919</v>
      </c>
    </row>
    <row r="24" spans="2:9">
      <c r="B24" s="54">
        <v>1950</v>
      </c>
      <c r="C24" s="55">
        <v>1973492.4945905395</v>
      </c>
      <c r="D24" s="53">
        <v>2492312.9128417894</v>
      </c>
      <c r="E24" s="55">
        <v>3569863.0122866966</v>
      </c>
    </row>
    <row r="25" spans="2:9">
      <c r="B25" s="54">
        <v>2100</v>
      </c>
      <c r="C25" s="55">
        <v>2645284.2547114231</v>
      </c>
      <c r="D25" s="55">
        <v>3164104.672962673</v>
      </c>
      <c r="E25" s="55">
        <v>4241654.7724075764</v>
      </c>
    </row>
    <row r="26" spans="2:9">
      <c r="I26" s="44"/>
    </row>
    <row r="29" spans="2:9">
      <c r="B29" s="41" t="s">
        <v>121</v>
      </c>
      <c r="C29" s="42"/>
      <c r="F29" s="62"/>
      <c r="G29" s="63" t="s">
        <v>122</v>
      </c>
    </row>
    <row r="30" spans="2:9">
      <c r="B30" s="21" t="s">
        <v>52</v>
      </c>
      <c r="C30" s="68">
        <f>Calculation!C120</f>
        <v>12192312.912841789</v>
      </c>
      <c r="F30" s="28"/>
      <c r="G30" s="29" t="s">
        <v>123</v>
      </c>
    </row>
    <row r="31" spans="2:9">
      <c r="B31" s="21" t="s">
        <v>53</v>
      </c>
      <c r="C31" s="68">
        <f>Calculation!C121</f>
        <v>2492312.9128417894</v>
      </c>
      <c r="F31" s="28"/>
      <c r="G31" s="29"/>
    </row>
    <row r="32" spans="2:9">
      <c r="B32" s="21" t="s">
        <v>90</v>
      </c>
      <c r="C32" s="43">
        <f>Calculation!C122</f>
        <v>0.11883793592040459</v>
      </c>
      <c r="F32" s="64"/>
      <c r="G32" s="65" t="s">
        <v>124</v>
      </c>
    </row>
    <row r="33" spans="2:7">
      <c r="F33" s="28" t="s">
        <v>107</v>
      </c>
      <c r="G33" s="59">
        <f>C36</f>
        <v>2498747.7689624168</v>
      </c>
    </row>
    <row r="34" spans="2:7">
      <c r="B34" s="41" t="s">
        <v>125</v>
      </c>
      <c r="C34" s="42"/>
      <c r="F34" s="28" t="s">
        <v>108</v>
      </c>
      <c r="G34" s="66">
        <f>C37</f>
        <v>0.18122672509278059</v>
      </c>
    </row>
    <row r="35" spans="2:7">
      <c r="B35" s="21" t="s">
        <v>106</v>
      </c>
      <c r="C35" s="68">
        <f>Calculation!C146</f>
        <v>5408747.7689624168</v>
      </c>
      <c r="F35" s="28"/>
      <c r="G35" s="29"/>
    </row>
    <row r="36" spans="2:7">
      <c r="B36" s="21" t="s">
        <v>107</v>
      </c>
      <c r="C36" s="68">
        <f>Calculation!C147</f>
        <v>2498747.7689624168</v>
      </c>
      <c r="F36" s="64"/>
      <c r="G36" s="65" t="s">
        <v>126</v>
      </c>
    </row>
    <row r="37" spans="2:7">
      <c r="B37" s="21" t="s">
        <v>108</v>
      </c>
      <c r="C37" s="43">
        <f>Calculation!C148</f>
        <v>0.18122672509278059</v>
      </c>
      <c r="F37" s="30" t="s">
        <v>127</v>
      </c>
      <c r="G37" s="67">
        <f>C30</f>
        <v>12192312.912841789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Fanny Östling</dc:creator>
  <cp:keywords/>
  <dc:description/>
  <cp:lastModifiedBy/>
  <cp:revision/>
  <dcterms:created xsi:type="dcterms:W3CDTF">2023-09-19T11:21:08Z</dcterms:created>
  <dcterms:modified xsi:type="dcterms:W3CDTF">2026-10-22T18:54:23Z</dcterms:modified>
  <cp:category/>
  <cp:contentStatus/>
</cp:coreProperties>
</file>